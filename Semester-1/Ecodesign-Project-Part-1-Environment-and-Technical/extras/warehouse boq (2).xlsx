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elinachanaud/Library/Mobile Documents/com~apple~CloudDocs/year 3/EENG3 S5/Ecodesign/"/>
    </mc:Choice>
  </mc:AlternateContent>
  <xr:revisionPtr revIDLastSave="0" documentId="8_{237B9105-6490-4649-83D7-ACA1B1BD0DD1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0" r:id="rId1"/>
  </sheets>
  <externalReferences>
    <externalReference r:id="rId2"/>
    <externalReference r:id="rId3"/>
    <externalReference r:id="rId4"/>
    <externalReference r:id="rId5"/>
  </externalReferences>
  <definedNames>
    <definedName name="____DOO1">#REF!</definedName>
    <definedName name="____WIN1">#REF!</definedName>
    <definedName name="__DOO1">#REF!</definedName>
    <definedName name="__FAC1">[1]สรุป!$C$307</definedName>
    <definedName name="__WIN1">#REF!</definedName>
    <definedName name="_a">#REF!</definedName>
    <definedName name="_a___0">#REF!</definedName>
    <definedName name="_a___4">#REF!</definedName>
    <definedName name="_b">#N/A</definedName>
    <definedName name="_c">#REF!</definedName>
    <definedName name="_c___0">#REF!</definedName>
    <definedName name="_c___4">#REF!</definedName>
    <definedName name="_e">#N/A</definedName>
    <definedName name="_FAC1">[1]สรุป!$C$307</definedName>
    <definedName name="_p">#N/A</definedName>
    <definedName name="_q">#N/A</definedName>
    <definedName name="_w">#N/A</definedName>
    <definedName name="_z">#N/A</definedName>
    <definedName name="A">#REF!</definedName>
    <definedName name="aaa">#REF!</definedName>
    <definedName name="B">#REF!</definedName>
    <definedName name="CANTEEN">#REF!</definedName>
    <definedName name="D">#REF!</definedName>
    <definedName name="ee">#REF!</definedName>
    <definedName name="elx">#REF!</definedName>
    <definedName name="_xlnm.Extract">#REF!</definedName>
    <definedName name="f">#REF!</definedName>
    <definedName name="ghetyr55252">#REF!</definedName>
    <definedName name="hello">#REF!</definedName>
    <definedName name="HTML_CodePage" hidden="1">874</definedName>
    <definedName name="HTML_Control" hidden="1">{"'SUMMATION'!$B$2:$I$2"}</definedName>
    <definedName name="HTML_Description" hidden="1">""</definedName>
    <definedName name="HTML_Email" hidden="1">""</definedName>
    <definedName name="HTML_Header" hidden="1">"SUMMATION"</definedName>
    <definedName name="HTML_LastUpdate" hidden="1">"21/3/02"</definedName>
    <definedName name="HTML_LineAfter" hidden="1">FALSE</definedName>
    <definedName name="HTML_LineBefore" hidden="1">FALSE</definedName>
    <definedName name="HTML_Name" hidden="1">"Estimate_5"</definedName>
    <definedName name="HTML_OBDlg2" hidden="1">TRUE</definedName>
    <definedName name="HTML_OBDlg4" hidden="1">TRUE</definedName>
    <definedName name="HTML_OS" hidden="1">0</definedName>
    <definedName name="HTML_PathFile" hidden="1">"C:\SAni.htm"</definedName>
    <definedName name="HTML_Title" hidden="1">"อาคารเรียนรวม"</definedName>
    <definedName name="lady">"Picture 223"</definedName>
    <definedName name="nextDate">#REF!</definedName>
    <definedName name="pEnd">#REF!</definedName>
    <definedName name="_xlnm.Print_Area">[2]Sheet1!$A$1:$I$144</definedName>
    <definedName name="Print_Area_MI">#REF!</definedName>
    <definedName name="Print_Area_MI___0">#REF!</definedName>
    <definedName name="Print_Area_MI___4">#REF!</definedName>
    <definedName name="_xlnm.Print_Titles">[2]Sheet1!$1:$4</definedName>
    <definedName name="Print_Titles_MI">#REF!</definedName>
    <definedName name="Print_Titles_MI___4">#REF!</definedName>
    <definedName name="q">#REF!</definedName>
    <definedName name="QF_SYS_CURRENCY1">[3]Parameters!$F$33</definedName>
    <definedName name="QF_SYS_NOT_TRADE_DESC1">[3]Parameters!$F$35</definedName>
    <definedName name="QF_SYS_SHIPPING1">[3]Parameters!$F$32</definedName>
    <definedName name="QF_SYS_SIGNER">[3]Parameters!$F$13</definedName>
    <definedName name="QF_SYS_TRADE_DESC1">[3]Parameters!$F$34</definedName>
    <definedName name="QF_SYS_TRADETERM1">[3]Parameters!$F$31</definedName>
    <definedName name="QF_SYS_VALIDITY_DATE">[3]Parameters!$F$19</definedName>
    <definedName name="SAM">#REF!</definedName>
    <definedName name="SCE">#REF!</definedName>
    <definedName name="T_">#N/A</definedName>
    <definedName name="tap">#REF!</definedName>
    <definedName name="thisDate">#REF!</definedName>
    <definedName name="TOTAL">#REF!</definedName>
    <definedName name="valuevx">42.314159</definedName>
    <definedName name="vertex42_copyright" hidden="1">"© 2017 Vertex42 LLC"</definedName>
    <definedName name="vertex42_id" hidden="1">"project-planner.xlsx"</definedName>
    <definedName name="vertex42_title" hidden="1">"Project Planner Template"</definedName>
    <definedName name="www">'[4]ประมาณการประตูหน้าต่าง '!#REF!</definedName>
    <definedName name="ก">'[4]ประมาณการประตูหน้าต่าง '!#REF!</definedName>
    <definedName name="ก12">#REF!</definedName>
    <definedName name="กก">#REF!</definedName>
    <definedName name="การ">#REF!</definedName>
    <definedName name="กุ">'[4]ประมาณการประตูหน้าต่าง '!#REF!</definedName>
    <definedName name="กู1">#REF!</definedName>
    <definedName name="กู2">#REF!</definedName>
    <definedName name="จาน">#REF!</definedName>
    <definedName name="เตรียมการ">#REF!</definedName>
    <definedName name="ถนน">#REF!</definedName>
    <definedName name="โถส้วมนั่งราบ">#REF!</definedName>
    <definedName name="บันทัด">#REF!</definedName>
    <definedName name="บันทัด2">#REF!</definedName>
    <definedName name="พอ">'[4]ประมาณการประตูหน้าต่าง '!#REF!</definedName>
    <definedName name="ฟภุ">'[4]ประมาณการประตูหน้าต่าง '!#REF!</definedName>
    <definedName name="ฟๅ">#REF!</definedName>
    <definedName name="หห">'[4]ประมาณการประตูหน้าต่าง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0" l="1"/>
  <c r="G43" i="10" l="1"/>
  <c r="G45" i="10" s="1"/>
</calcChain>
</file>

<file path=xl/sharedStrings.xml><?xml version="1.0" encoding="utf-8"?>
<sst xmlns="http://schemas.openxmlformats.org/spreadsheetml/2006/main" count="66" uniqueCount="42">
  <si>
    <t>kg</t>
  </si>
  <si>
    <t>FORMETATION ROOM</t>
  </si>
  <si>
    <t>ITEM</t>
  </si>
  <si>
    <t>CONTACT</t>
  </si>
  <si>
    <t>UNIT</t>
  </si>
  <si>
    <t>QTY.</t>
  </si>
  <si>
    <t>UNIT PRICE</t>
  </si>
  <si>
    <t>PRICE</t>
  </si>
  <si>
    <t>REMARKS</t>
  </si>
  <si>
    <t>Concrete structure</t>
  </si>
  <si>
    <t>Footing</t>
  </si>
  <si>
    <t>Concrete</t>
  </si>
  <si>
    <t>m3</t>
  </si>
  <si>
    <t>Form</t>
  </si>
  <si>
    <t>m2</t>
  </si>
  <si>
    <t>Lean concrete</t>
  </si>
  <si>
    <t>4x6 rock</t>
  </si>
  <si>
    <t>Steel bar for cap</t>
  </si>
  <si>
    <t>Columns</t>
  </si>
  <si>
    <t>Steel bar</t>
  </si>
  <si>
    <t>Link</t>
  </si>
  <si>
    <t>BEAM</t>
  </si>
  <si>
    <t>Slab</t>
  </si>
  <si>
    <t>Total Structure work</t>
  </si>
  <si>
    <t xml:space="preserve">Roof and Finshing Work </t>
  </si>
  <si>
    <t>m²</t>
  </si>
  <si>
    <t>Ventilation Brick</t>
  </si>
  <si>
    <t>mosquito net</t>
  </si>
  <si>
    <t>Steel Door</t>
  </si>
  <si>
    <t>Roof Structure</t>
  </si>
  <si>
    <t>Roof Cover cement tiles</t>
  </si>
  <si>
    <t xml:space="preserve">Roof ventilation </t>
  </si>
  <si>
    <t>Over cover structure</t>
  </si>
  <si>
    <t>Over cover</t>
  </si>
  <si>
    <t xml:space="preserve">10cm brick Wall </t>
  </si>
  <si>
    <t>Total Roof and Finshing work</t>
  </si>
  <si>
    <t>TOTAL PRICE (US$)</t>
  </si>
  <si>
    <t>60 kg per sqm</t>
  </si>
  <si>
    <t>15 kg per sqm</t>
  </si>
  <si>
    <t>5 kg per sqm</t>
  </si>
  <si>
    <t>25 kg per sqm</t>
  </si>
  <si>
    <t>0.5 kg per 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</si>
</sst>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</numFmts>
  <fonts count="23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Times New Roman"/>
      <family val="2"/>
    </font>
    <font>
      <b/>
      <sz val="14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4"/>
      <color theme="1"/>
      <name val="Calibri Light"/>
      <family val="1"/>
      <scheme val="major"/>
    </font>
    <font>
      <b/>
      <sz val="10"/>
      <name val="Calibri Light"/>
      <family val="1"/>
      <scheme val="major"/>
    </font>
    <font>
      <sz val="10"/>
      <color theme="1"/>
      <name val="Calibri Light"/>
      <family val="1"/>
      <scheme val="maj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96">
    <xf numFmtId="0" fontId="0" fillId="0" borderId="0"/>
    <xf numFmtId="43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6" fillId="0" borderId="0"/>
    <xf numFmtId="164" fontId="7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2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114">
    <xf numFmtId="0" fontId="0" fillId="0" borderId="0" xfId="0"/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43" fontId="15" fillId="0" borderId="0" xfId="1" applyFont="1" applyAlignment="1">
      <alignment vertical="center"/>
    </xf>
    <xf numFmtId="0" fontId="12" fillId="0" borderId="18" xfId="0" applyFont="1" applyBorder="1" applyAlignment="1">
      <alignment vertical="center"/>
    </xf>
    <xf numFmtId="1" fontId="19" fillId="2" borderId="18" xfId="90" applyNumberFormat="1" applyFont="1" applyFill="1" applyBorder="1" applyAlignment="1">
      <alignment horizontal="left" vertical="center"/>
    </xf>
    <xf numFmtId="49" fontId="19" fillId="2" borderId="18" xfId="92" applyNumberFormat="1" applyFont="1" applyFill="1" applyBorder="1" applyAlignment="1">
      <alignment horizontal="center" vertical="center"/>
    </xf>
    <xf numFmtId="2" fontId="19" fillId="2" borderId="18" xfId="2" applyNumberFormat="1" applyFont="1" applyFill="1" applyBorder="1" applyAlignment="1">
      <alignment horizontal="center" vertical="center"/>
    </xf>
    <xf numFmtId="164" fontId="12" fillId="0" borderId="18" xfId="5" applyFont="1" applyFill="1" applyBorder="1"/>
    <xf numFmtId="164" fontId="12" fillId="0" borderId="18" xfId="5" applyFont="1" applyFill="1" applyBorder="1" applyAlignment="1">
      <alignment vertical="center"/>
    </xf>
    <xf numFmtId="1" fontId="19" fillId="0" borderId="18" xfId="90" applyNumberFormat="1" applyFont="1" applyBorder="1" applyAlignment="1">
      <alignment vertical="center"/>
    </xf>
    <xf numFmtId="1" fontId="20" fillId="5" borderId="11" xfId="90" applyNumberFormat="1" applyFont="1" applyFill="1" applyBorder="1" applyAlignment="1">
      <alignment vertical="center"/>
    </xf>
    <xf numFmtId="1" fontId="20" fillId="5" borderId="19" xfId="90" applyNumberFormat="1" applyFont="1" applyFill="1" applyBorder="1" applyAlignment="1">
      <alignment horizontal="left" vertical="center"/>
    </xf>
    <xf numFmtId="49" fontId="20" fillId="5" borderId="19" xfId="92" applyNumberFormat="1" applyFont="1" applyFill="1" applyBorder="1" applyAlignment="1">
      <alignment horizontal="center" vertical="center"/>
    </xf>
    <xf numFmtId="2" fontId="20" fillId="5" borderId="19" xfId="2" applyNumberFormat="1" applyFont="1" applyFill="1" applyBorder="1" applyAlignment="1">
      <alignment horizontal="center" vertical="center"/>
    </xf>
    <xf numFmtId="164" fontId="21" fillId="5" borderId="19" xfId="5" applyFont="1" applyFill="1" applyBorder="1"/>
    <xf numFmtId="164" fontId="21" fillId="5" borderId="19" xfId="5" applyFont="1" applyFill="1" applyBorder="1" applyAlignment="1">
      <alignment vertical="center"/>
    </xf>
    <xf numFmtId="0" fontId="21" fillId="5" borderId="7" xfId="0" applyFont="1" applyFill="1" applyBorder="1"/>
    <xf numFmtId="2" fontId="19" fillId="2" borderId="6" xfId="2" applyNumberFormat="1" applyFont="1" applyFill="1" applyBorder="1" applyAlignment="1">
      <alignment horizontal="center" vertical="center"/>
    </xf>
    <xf numFmtId="2" fontId="22" fillId="0" borderId="16" xfId="3" applyNumberFormat="1" applyFont="1" applyBorder="1" applyAlignment="1">
      <alignment horizontal="left" indent="1"/>
    </xf>
    <xf numFmtId="1" fontId="19" fillId="2" borderId="10" xfId="90" applyNumberFormat="1" applyFont="1" applyFill="1" applyBorder="1" applyAlignment="1">
      <alignment horizontal="left" vertical="center"/>
    </xf>
    <xf numFmtId="49" fontId="19" fillId="2" borderId="10" xfId="92" applyNumberFormat="1" applyFont="1" applyFill="1" applyBorder="1" applyAlignment="1">
      <alignment horizontal="center" vertical="center"/>
    </xf>
    <xf numFmtId="2" fontId="19" fillId="2" borderId="10" xfId="2" applyNumberFormat="1" applyFont="1" applyFill="1" applyBorder="1" applyAlignment="1">
      <alignment horizontal="center" vertical="center"/>
    </xf>
    <xf numFmtId="164" fontId="12" fillId="2" borderId="10" xfId="5" applyFont="1" applyFill="1" applyBorder="1"/>
    <xf numFmtId="164" fontId="12" fillId="2" borderId="10" xfId="5" applyFont="1" applyFill="1" applyBorder="1" applyAlignment="1">
      <alignment vertical="center"/>
    </xf>
    <xf numFmtId="0" fontId="12" fillId="0" borderId="10" xfId="0" applyFont="1" applyBorder="1"/>
    <xf numFmtId="164" fontId="4" fillId="0" borderId="10" xfId="95" applyFont="1" applyBorder="1"/>
    <xf numFmtId="0" fontId="5" fillId="0" borderId="10" xfId="3" applyBorder="1" applyAlignment="1">
      <alignment horizontal="left" indent="2"/>
    </xf>
    <xf numFmtId="1" fontId="19" fillId="2" borderId="6" xfId="90" applyNumberFormat="1" applyFont="1" applyFill="1" applyBorder="1" applyAlignment="1">
      <alignment horizontal="left" vertical="center"/>
    </xf>
    <xf numFmtId="0" fontId="5" fillId="0" borderId="10" xfId="3" applyBorder="1"/>
    <xf numFmtId="164" fontId="12" fillId="2" borderId="6" xfId="5" applyFont="1" applyFill="1" applyBorder="1" applyAlignment="1">
      <alignment vertical="center"/>
    </xf>
    <xf numFmtId="0" fontId="12" fillId="0" borderId="6" xfId="0" applyFont="1" applyBorder="1"/>
    <xf numFmtId="164" fontId="4" fillId="0" borderId="6" xfId="95" applyFont="1" applyBorder="1"/>
    <xf numFmtId="0" fontId="5" fillId="0" borderId="6" xfId="3" applyBorder="1" applyAlignment="1">
      <alignment horizontal="left" indent="2"/>
    </xf>
    <xf numFmtId="0" fontId="5" fillId="0" borderId="6" xfId="3" applyBorder="1"/>
    <xf numFmtId="0" fontId="5" fillId="0" borderId="19" xfId="3" applyBorder="1"/>
    <xf numFmtId="2" fontId="22" fillId="0" borderId="11" xfId="3" applyNumberFormat="1" applyFont="1" applyBorder="1" applyAlignment="1">
      <alignment horizontal="left" indent="1"/>
    </xf>
    <xf numFmtId="164" fontId="4" fillId="0" borderId="18" xfId="95" applyFont="1" applyBorder="1"/>
    <xf numFmtId="164" fontId="12" fillId="2" borderId="18" xfId="5" applyFont="1" applyFill="1" applyBorder="1" applyAlignment="1">
      <alignment vertical="center"/>
    </xf>
    <xf numFmtId="1" fontId="19" fillId="0" borderId="11" xfId="90" applyNumberFormat="1" applyFont="1" applyBorder="1" applyAlignment="1">
      <alignment horizontal="left" vertical="center" indent="1"/>
    </xf>
    <xf numFmtId="1" fontId="19" fillId="2" borderId="19" xfId="90" applyNumberFormat="1" applyFont="1" applyFill="1" applyBorder="1" applyAlignment="1">
      <alignment horizontal="left" vertical="center"/>
    </xf>
    <xf numFmtId="49" fontId="19" fillId="2" borderId="19" xfId="92" applyNumberFormat="1" applyFont="1" applyFill="1" applyBorder="1" applyAlignment="1">
      <alignment horizontal="center" vertical="center"/>
    </xf>
    <xf numFmtId="2" fontId="19" fillId="2" borderId="19" xfId="2" applyNumberFormat="1" applyFont="1" applyFill="1" applyBorder="1" applyAlignment="1">
      <alignment horizontal="center" vertical="center"/>
    </xf>
    <xf numFmtId="164" fontId="21" fillId="2" borderId="20" xfId="5" applyFont="1" applyFill="1" applyBorder="1"/>
    <xf numFmtId="164" fontId="21" fillId="2" borderId="20" xfId="5" applyFont="1" applyFill="1" applyBorder="1" applyAlignment="1">
      <alignment vertical="center"/>
    </xf>
    <xf numFmtId="0" fontId="12" fillId="0" borderId="15" xfId="0" applyFont="1" applyBorder="1"/>
    <xf numFmtId="164" fontId="21" fillId="5" borderId="17" xfId="5" applyFont="1" applyFill="1" applyBorder="1"/>
    <xf numFmtId="164" fontId="21" fillId="5" borderId="17" xfId="5" applyFont="1" applyFill="1" applyBorder="1" applyAlignment="1">
      <alignment vertical="center"/>
    </xf>
    <xf numFmtId="1" fontId="19" fillId="2" borderId="10" xfId="90" applyNumberFormat="1" applyFont="1" applyFill="1" applyBorder="1" applyAlignment="1">
      <alignment horizontal="left" vertical="center" indent="1"/>
    </xf>
    <xf numFmtId="49" fontId="19" fillId="0" borderId="10" xfId="92" applyNumberFormat="1" applyFont="1" applyFill="1" applyBorder="1" applyAlignment="1">
      <alignment horizontal="center" vertical="center"/>
    </xf>
    <xf numFmtId="164" fontId="12" fillId="0" borderId="10" xfId="5" applyFont="1" applyFill="1" applyBorder="1"/>
    <xf numFmtId="1" fontId="19" fillId="0" borderId="10" xfId="90" applyNumberFormat="1" applyFont="1" applyBorder="1" applyAlignment="1">
      <alignment vertical="center"/>
    </xf>
    <xf numFmtId="1" fontId="19" fillId="0" borderId="6" xfId="90" applyNumberFormat="1" applyFont="1" applyBorder="1" applyAlignment="1">
      <alignment horizontal="left" vertical="center" indent="1"/>
    </xf>
    <xf numFmtId="49" fontId="19" fillId="2" borderId="6" xfId="92" applyNumberFormat="1" applyFont="1" applyFill="1" applyBorder="1" applyAlignment="1">
      <alignment horizontal="center" vertical="center"/>
    </xf>
    <xf numFmtId="1" fontId="19" fillId="0" borderId="6" xfId="90" applyNumberFormat="1" applyFont="1" applyBorder="1" applyAlignment="1">
      <alignment vertical="center"/>
    </xf>
    <xf numFmtId="49" fontId="19" fillId="0" borderId="6" xfId="92" applyNumberFormat="1" applyFont="1" applyFill="1" applyBorder="1" applyAlignment="1">
      <alignment horizontal="center" vertical="center"/>
    </xf>
    <xf numFmtId="1" fontId="20" fillId="2" borderId="6" xfId="90" applyNumberFormat="1" applyFont="1" applyFill="1" applyBorder="1" applyAlignment="1">
      <alignment horizontal="left" vertical="center"/>
    </xf>
    <xf numFmtId="1" fontId="20" fillId="0" borderId="6" xfId="90" applyNumberFormat="1" applyFont="1" applyBorder="1" applyAlignment="1">
      <alignment vertical="center"/>
    </xf>
    <xf numFmtId="49" fontId="19" fillId="0" borderId="18" xfId="92" applyNumberFormat="1" applyFont="1" applyFill="1" applyBorder="1" applyAlignment="1">
      <alignment horizontal="center" vertical="center"/>
    </xf>
    <xf numFmtId="164" fontId="12" fillId="0" borderId="5" xfId="5" applyFont="1" applyFill="1" applyBorder="1"/>
    <xf numFmtId="164" fontId="12" fillId="0" borderId="5" xfId="5" applyFont="1" applyFill="1" applyBorder="1" applyAlignment="1">
      <alignment vertical="center"/>
    </xf>
    <xf numFmtId="164" fontId="20" fillId="6" borderId="20" xfId="5" applyFont="1" applyFill="1" applyBorder="1" applyAlignment="1">
      <alignment horizontal="center" vertical="center"/>
    </xf>
    <xf numFmtId="164" fontId="20" fillId="6" borderId="7" xfId="5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164" fontId="12" fillId="0" borderId="0" xfId="5" applyFont="1"/>
    <xf numFmtId="164" fontId="12" fillId="0" borderId="0" xfId="5" applyFont="1" applyAlignment="1">
      <alignment vertical="center"/>
    </xf>
    <xf numFmtId="49" fontId="20" fillId="0" borderId="6" xfId="92" applyNumberFormat="1" applyFont="1" applyFill="1" applyBorder="1" applyAlignment="1">
      <alignment horizontal="center" vertical="center"/>
    </xf>
    <xf numFmtId="2" fontId="20" fillId="2" borderId="6" xfId="2" applyNumberFormat="1" applyFont="1" applyFill="1" applyBorder="1" applyAlignment="1">
      <alignment horizontal="center" vertical="center"/>
    </xf>
    <xf numFmtId="164" fontId="21" fillId="2" borderId="6" xfId="5" applyFont="1" applyFill="1" applyBorder="1" applyAlignment="1">
      <alignment vertical="center"/>
    </xf>
    <xf numFmtId="164" fontId="21" fillId="0" borderId="6" xfId="5" applyFont="1" applyFill="1" applyBorder="1"/>
    <xf numFmtId="49" fontId="20" fillId="2" borderId="6" xfId="92" applyNumberFormat="1" applyFont="1" applyFill="1" applyBorder="1" applyAlignment="1">
      <alignment horizontal="center" vertical="center"/>
    </xf>
    <xf numFmtId="1" fontId="19" fillId="0" borderId="18" xfId="90" applyNumberFormat="1" applyFont="1" applyBorder="1" applyAlignment="1">
      <alignment horizontal="left" vertical="center" indent="1"/>
    </xf>
    <xf numFmtId="1" fontId="19" fillId="0" borderId="10" xfId="90" applyNumberFormat="1" applyFont="1" applyBorder="1" applyAlignment="1">
      <alignment horizontal="left" vertical="center" indent="1"/>
    </xf>
    <xf numFmtId="1" fontId="20" fillId="0" borderId="1" xfId="90" applyNumberFormat="1" applyFont="1" applyBorder="1" applyAlignment="1">
      <alignment horizontal="left" vertical="center" indent="1"/>
    </xf>
    <xf numFmtId="1" fontId="20" fillId="2" borderId="2" xfId="90" applyNumberFormat="1" applyFont="1" applyFill="1" applyBorder="1" applyAlignment="1">
      <alignment horizontal="left" vertical="center"/>
    </xf>
    <xf numFmtId="49" fontId="20" fillId="0" borderId="2" xfId="92" applyNumberFormat="1" applyFont="1" applyFill="1" applyBorder="1" applyAlignment="1">
      <alignment horizontal="center" vertical="center"/>
    </xf>
    <xf numFmtId="2" fontId="20" fillId="2" borderId="2" xfId="2" applyNumberFormat="1" applyFont="1" applyFill="1" applyBorder="1" applyAlignment="1">
      <alignment horizontal="center" vertical="center"/>
    </xf>
    <xf numFmtId="164" fontId="21" fillId="0" borderId="2" xfId="5" applyFont="1" applyFill="1" applyBorder="1"/>
    <xf numFmtId="164" fontId="21" fillId="2" borderId="2" xfId="5" applyFont="1" applyFill="1" applyBorder="1" applyAlignment="1">
      <alignment vertical="center"/>
    </xf>
    <xf numFmtId="1" fontId="20" fillId="0" borderId="2" xfId="90" applyNumberFormat="1" applyFont="1" applyBorder="1" applyAlignment="1">
      <alignment vertical="center"/>
    </xf>
    <xf numFmtId="1" fontId="20" fillId="0" borderId="8" xfId="90" applyNumberFormat="1" applyFont="1" applyBorder="1" applyAlignment="1">
      <alignment horizontal="left" vertical="center" indent="1"/>
    </xf>
    <xf numFmtId="1" fontId="20" fillId="0" borderId="3" xfId="90" applyNumberFormat="1" applyFont="1" applyBorder="1" applyAlignment="1">
      <alignment horizontal="left" vertical="center" indent="1"/>
    </xf>
    <xf numFmtId="1" fontId="20" fillId="2" borderId="4" xfId="90" applyNumberFormat="1" applyFont="1" applyFill="1" applyBorder="1" applyAlignment="1">
      <alignment horizontal="left" vertical="center"/>
    </xf>
    <xf numFmtId="49" fontId="20" fillId="0" borderId="4" xfId="92" applyNumberFormat="1" applyFont="1" applyFill="1" applyBorder="1" applyAlignment="1">
      <alignment horizontal="center" vertical="center"/>
    </xf>
    <xf numFmtId="2" fontId="20" fillId="2" borderId="4" xfId="2" applyNumberFormat="1" applyFont="1" applyFill="1" applyBorder="1" applyAlignment="1">
      <alignment horizontal="center" vertical="center"/>
    </xf>
    <xf numFmtId="164" fontId="21" fillId="2" borderId="4" xfId="5" applyFont="1" applyFill="1" applyBorder="1" applyAlignment="1">
      <alignment vertical="center"/>
    </xf>
    <xf numFmtId="1" fontId="20" fillId="0" borderId="4" xfId="90" applyNumberFormat="1" applyFont="1" applyBorder="1" applyAlignment="1">
      <alignment vertical="center"/>
    </xf>
    <xf numFmtId="2" fontId="5" fillId="0" borderId="10" xfId="3" applyNumberFormat="1" applyBorder="1" applyAlignment="1">
      <alignment horizontal="center"/>
    </xf>
    <xf numFmtId="2" fontId="5" fillId="0" borderId="6" xfId="3" applyNumberFormat="1" applyBorder="1" applyAlignment="1">
      <alignment horizontal="center"/>
    </xf>
    <xf numFmtId="2" fontId="5" fillId="0" borderId="19" xfId="3" applyNumberFormat="1" applyBorder="1" applyAlignment="1">
      <alignment horizontal="center"/>
    </xf>
    <xf numFmtId="1" fontId="20" fillId="6" borderId="21" xfId="90" applyNumberFormat="1" applyFont="1" applyFill="1" applyBorder="1" applyAlignment="1">
      <alignment horizontal="right" vertical="center"/>
    </xf>
    <xf numFmtId="1" fontId="20" fillId="6" borderId="22" xfId="90" applyNumberFormat="1" applyFont="1" applyFill="1" applyBorder="1" applyAlignment="1">
      <alignment horizontal="right" vertical="center"/>
    </xf>
    <xf numFmtId="1" fontId="20" fillId="6" borderId="9" xfId="9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16" fillId="3" borderId="16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1" fontId="17" fillId="4" borderId="18" xfId="90" applyNumberFormat="1" applyFont="1" applyFill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7" fillId="4" borderId="18" xfId="90" applyFont="1" applyFill="1" applyBorder="1" applyAlignment="1">
      <alignment horizontal="center" vertical="center"/>
    </xf>
    <xf numFmtId="0" fontId="17" fillId="4" borderId="10" xfId="90" applyFont="1" applyFill="1" applyBorder="1" applyAlignment="1">
      <alignment horizontal="center" vertical="center"/>
    </xf>
    <xf numFmtId="164" fontId="17" fillId="4" borderId="18" xfId="92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2" fontId="17" fillId="4" borderId="18" xfId="90" applyNumberFormat="1" applyFont="1" applyFill="1" applyBorder="1" applyAlignment="1">
      <alignment horizontal="center" vertical="center"/>
    </xf>
    <xf numFmtId="164" fontId="17" fillId="4" borderId="15" xfId="5" applyFont="1" applyFill="1" applyBorder="1" applyAlignment="1">
      <alignment horizontal="center" vertical="center"/>
    </xf>
    <xf numFmtId="164" fontId="18" fillId="4" borderId="12" xfId="5" applyFont="1" applyFill="1" applyBorder="1" applyAlignment="1">
      <alignment horizontal="center" vertical="center"/>
    </xf>
    <xf numFmtId="164" fontId="17" fillId="4" borderId="18" xfId="5" applyFont="1" applyFill="1" applyBorder="1" applyAlignment="1">
      <alignment horizontal="center" vertical="center"/>
    </xf>
    <xf numFmtId="164" fontId="18" fillId="4" borderId="10" xfId="5" applyFont="1" applyFill="1" applyBorder="1" applyAlignment="1">
      <alignment horizontal="center" vertical="center"/>
    </xf>
  </cellXfs>
  <cellStyles count="96">
    <cellStyle name="Comma" xfId="1" builtinId="3"/>
    <cellStyle name="Comma 2" xfId="2" xr:uid="{00000000-0005-0000-0000-000003000000}"/>
    <cellStyle name="Comma 2 2" xfId="6" xr:uid="{00000000-0005-0000-0000-000004000000}"/>
    <cellStyle name="Comma 2 3" xfId="8" xr:uid="{00000000-0005-0000-0000-000005000000}"/>
    <cellStyle name="Currency" xfId="5" builtinId="4"/>
    <cellStyle name="Currency 2" xfId="92" xr:uid="{00000000-0005-0000-0000-000007000000}"/>
    <cellStyle name="Currency 2 2" xfId="95" xr:uid="{00000000-0005-0000-0000-000008000000}"/>
    <cellStyle name="Currency 3" xfId="94" xr:uid="{00000000-0005-0000-0000-000009000000}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Normal" xfId="0" builtinId="0"/>
    <cellStyle name="Normal 2" xfId="3" xr:uid="{00000000-0005-0000-0000-00005D000000}"/>
    <cellStyle name="Normal 2 2" xfId="7" xr:uid="{00000000-0005-0000-0000-00005E000000}"/>
    <cellStyle name="Normal 2 3" xfId="9" xr:uid="{00000000-0005-0000-0000-00005F000000}"/>
    <cellStyle name="Normal 2 4" xfId="91" xr:uid="{00000000-0005-0000-0000-000060000000}"/>
    <cellStyle name="Normal 27" xfId="4" xr:uid="{00000000-0005-0000-0000-000061000000}"/>
    <cellStyle name="Normal 3" xfId="90" xr:uid="{00000000-0005-0000-0000-000062000000}"/>
    <cellStyle name="Percent 2" xfId="93" xr:uid="{00000000-0005-0000-0000-00006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ocksy/Library/Application%20Support/Microsoft/Office/Office%202011%20AutoRecovery/00-K-Box%20SOLUTION/13%20SECO%20POWER%20ASIA/00-K-Box%20SOLUTION/12%20street%20light/Cost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ABTOP-1/03kkp/Documents%20and%20Settings/Start/Local%20Settings/Temporary%20Internet%20Files/Content.IE5/49Q3GPEJ/&#3595;&#3629;&#3618;&#3619;&#3634;&#3617;&#3588;&#3635;&#3649;&#3627;&#3591;24-EE(1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All%20From%20D/Camtowerlink/CTL%20Offer/Quotation%20of%20Power%20Solution(Based%20on%204%20KW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3591;&#3634;&#3609;&#3648;&#3614;&#3636;&#3656;&#3617;_&#3621;&#3604;-pi%20&#3605;&#3657;&#3609;/Documents%20and%20Settings/Torque/My%20Documents/TNTCON/04-TTCL-TOC/04%20TOC-Q/Project%202000%20.xls/Somchai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ตารางส่วนลด EE."/>
      <sheetName val="Invoice"/>
      <sheetName val="liste"/>
      <sheetName val="ซอยรามคำแหง24-EE(1)"/>
      <sheetName val="_x0015_ࠀ椀က׿Ā`_x001a__x0006__x001b_i_x001c_ٳ_x0000__x0000_"/>
      <sheetName val="ค่าวัสดุ"/>
      <sheetName val="Sum"/>
      <sheetName val="สรุป_EMC"/>
      <sheetName val="Price"/>
      <sheetName val="_x0015_ࠀ椀က׿Ā`_x001a__x0006__x001b_i_x001c_ٳ??"/>
      <sheetName val="화재 탐지 설비"/>
      <sheetName val="영업소실적"/>
      <sheetName val="PipW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Cover"/>
      <sheetName val="Disclaimer"/>
      <sheetName val="L1-SUMMARY"/>
      <sheetName val="tmp_v"/>
      <sheetName val="L2-SUMMARY"/>
      <sheetName val="L3-PowerCube 1000"/>
      <sheetName val="tmp"/>
      <sheetName val="L3-PowerCube 100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รายงานระยะที่ 2 "/>
      <sheetName val="รายการติดต่อ"/>
      <sheetName val="รายงานประกอบการเบิกงวด"/>
      <sheetName val="รายการเคลียแบบ"/>
      <sheetName val="งานAlum. แอมโปรเทค "/>
      <sheetName val="ราคา KYS เพิ่มเติม 2 , 4  "/>
      <sheetName val="เสนอราคางานเพิ่มเติม 2  "/>
      <sheetName val="เสนอราคางานเพิ่มเติม 4 "/>
      <sheetName val="งานเพิ่มเติม งานไฟฟ้า ตกแต่ง "/>
      <sheetName val="งานเพิ่มเติมห้องคนขับรถ"/>
      <sheetName val=" รายการประตู หน้าต่าง"/>
      <sheetName val="รายการอุปกรณ์ประตู หน้าต่าง"/>
      <sheetName val="รายละเอียดประตู หน้าต่าง"/>
      <sheetName val="ปรับราคาประตูหน้าต่าง  2 "/>
      <sheetName val="ราคาประตูหน้าต่าง KYS "/>
      <sheetName val="ปรับราคาประตูหน้าต่าง  2  (2)"/>
      <sheetName val="ปรับราคาประตูหน้าต่าง"/>
      <sheetName val="งานมุ้งลวด"/>
      <sheetName val="เปรียบเทียบราคา D&amp;W 2"/>
      <sheetName val="เปรียบเทียบราคาประตูหน้าต่าง 1."/>
      <sheetName val="แผนงานปรับปรุง"/>
      <sheetName val="แผนงาน"/>
      <sheetName val="งวดงาน (3)"/>
      <sheetName val="สรุปราคา (3)"/>
      <sheetName val="เสนอราคา (3)"/>
      <sheetName val="ราคาโครงสร้าง"/>
      <sheetName val="ราคาสถาปัตย์"/>
      <sheetName val="ราคางานภายนอก"/>
      <sheetName val="ราคางานประปา"/>
      <sheetName val="ราคางานไฟฟ้า"/>
      <sheetName val="งานระบบปรับอากาศ "/>
      <sheetName val="งานระบบปรับอากาศ 2 "/>
      <sheetName val="ปรับราคา"/>
      <sheetName val="ประตู-หน้าต่าง"/>
      <sheetName val="ต่อรองราคา"/>
      <sheetName val="สารบัญ"/>
      <sheetName val="ประมาณการประตูหน้าต่าง "/>
      <sheetName val="เปรียบเทียบราคา"/>
      <sheetName val="ข้อวินิจฉัย"/>
      <sheetName val="9 ยิ่งสุข"/>
      <sheetName val="รปภ.1"/>
      <sheetName val="รปภ.2"/>
      <sheetName val="รปภ.3"/>
      <sheetName val="รปภ.3 (2)"/>
      <sheetName val="รปภ.3 (3)"/>
      <sheetName val="Sheet1"/>
      <sheetName val="ราคา KYS เพิ่มเติม 2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50"/>
  <sheetViews>
    <sheetView tabSelected="1" topLeftCell="A4" zoomScale="98" workbookViewId="0">
      <selection activeCell="L23" sqref="L23"/>
    </sheetView>
  </sheetViews>
  <sheetFormatPr baseColWidth="10" defaultColWidth="8.83203125" defaultRowHeight="15" x14ac:dyDescent="0.2"/>
  <cols>
    <col min="2" max="2" width="27.6640625" customWidth="1"/>
    <col min="5" max="5" width="16.83203125" customWidth="1"/>
    <col min="6" max="6" width="28.33203125" customWidth="1"/>
    <col min="7" max="7" width="14.33203125" customWidth="1"/>
    <col min="9" max="11" width="10.6640625" bestFit="1" customWidth="1"/>
  </cols>
  <sheetData>
    <row r="2" spans="2:8" ht="18" x14ac:dyDescent="0.2">
      <c r="B2" s="96"/>
      <c r="C2" s="96"/>
      <c r="D2" s="96"/>
      <c r="E2" s="96"/>
      <c r="F2" s="96"/>
      <c r="G2" s="96"/>
      <c r="H2" s="96"/>
    </row>
    <row r="3" spans="2:8" x14ac:dyDescent="0.2">
      <c r="B3" s="2"/>
      <c r="C3" s="3"/>
      <c r="D3" s="4"/>
      <c r="E3" s="5"/>
      <c r="F3" s="4"/>
      <c r="G3" s="5"/>
      <c r="H3" s="4"/>
    </row>
    <row r="4" spans="2:8" x14ac:dyDescent="0.2">
      <c r="B4" s="97" t="s">
        <v>1</v>
      </c>
      <c r="C4" s="98"/>
      <c r="D4" s="98"/>
      <c r="E4" s="98"/>
      <c r="F4" s="98"/>
      <c r="G4" s="98"/>
      <c r="H4" s="99"/>
    </row>
    <row r="5" spans="2:8" x14ac:dyDescent="0.2">
      <c r="B5" s="100"/>
      <c r="C5" s="101"/>
      <c r="D5" s="101"/>
      <c r="E5" s="101"/>
      <c r="F5" s="101"/>
      <c r="G5" s="101"/>
      <c r="H5" s="102"/>
    </row>
    <row r="6" spans="2:8" x14ac:dyDescent="0.2">
      <c r="B6" s="103" t="s">
        <v>2</v>
      </c>
      <c r="C6" s="105" t="s">
        <v>3</v>
      </c>
      <c r="D6" s="107" t="s">
        <v>4</v>
      </c>
      <c r="E6" s="109" t="s">
        <v>5</v>
      </c>
      <c r="F6" s="110" t="s">
        <v>6</v>
      </c>
      <c r="G6" s="112" t="s">
        <v>7</v>
      </c>
      <c r="H6" s="112" t="s">
        <v>8</v>
      </c>
    </row>
    <row r="7" spans="2:8" x14ac:dyDescent="0.2">
      <c r="B7" s="104"/>
      <c r="C7" s="106"/>
      <c r="D7" s="108"/>
      <c r="E7" s="108"/>
      <c r="F7" s="111"/>
      <c r="G7" s="113"/>
      <c r="H7" s="113"/>
    </row>
    <row r="8" spans="2:8" x14ac:dyDescent="0.2">
      <c r="B8" s="6"/>
      <c r="C8" s="7"/>
      <c r="D8" s="8"/>
      <c r="E8" s="9"/>
      <c r="F8" s="10"/>
      <c r="G8" s="11"/>
      <c r="H8" s="12"/>
    </row>
    <row r="9" spans="2:8" x14ac:dyDescent="0.2">
      <c r="B9" s="13" t="s">
        <v>9</v>
      </c>
      <c r="C9" s="14"/>
      <c r="D9" s="15"/>
      <c r="E9" s="16"/>
      <c r="F9" s="17"/>
      <c r="G9" s="18"/>
      <c r="H9" s="19"/>
    </row>
    <row r="10" spans="2:8" x14ac:dyDescent="0.2">
      <c r="B10" s="21" t="s">
        <v>10</v>
      </c>
      <c r="C10" s="22"/>
      <c r="D10" s="23"/>
      <c r="E10" s="24"/>
      <c r="F10" s="25"/>
      <c r="G10" s="26"/>
      <c r="H10" s="27"/>
    </row>
    <row r="11" spans="2:8" x14ac:dyDescent="0.2">
      <c r="B11" s="29" t="s">
        <v>11</v>
      </c>
      <c r="C11" s="30"/>
      <c r="D11" s="31" t="s">
        <v>12</v>
      </c>
      <c r="E11" s="90">
        <v>7.875</v>
      </c>
      <c r="F11" s="28"/>
      <c r="G11" s="32"/>
      <c r="H11" s="33"/>
    </row>
    <row r="12" spans="2:8" x14ac:dyDescent="0.2">
      <c r="B12" s="35" t="s">
        <v>13</v>
      </c>
      <c r="C12" s="30"/>
      <c r="D12" s="36" t="s">
        <v>14</v>
      </c>
      <c r="E12" s="91">
        <v>31.5</v>
      </c>
      <c r="F12" s="34"/>
      <c r="G12" s="32"/>
      <c r="H12" s="33"/>
    </row>
    <row r="13" spans="2:8" x14ac:dyDescent="0.2">
      <c r="B13" s="35" t="s">
        <v>15</v>
      </c>
      <c r="C13" s="30"/>
      <c r="D13" s="36" t="s">
        <v>12</v>
      </c>
      <c r="E13" s="91">
        <v>3.7800000000000002</v>
      </c>
      <c r="F13" s="34"/>
      <c r="G13" s="32"/>
      <c r="H13" s="33"/>
    </row>
    <row r="14" spans="2:8" x14ac:dyDescent="0.2">
      <c r="B14" s="35" t="s">
        <v>16</v>
      </c>
      <c r="C14" s="30"/>
      <c r="D14" s="36" t="s">
        <v>12</v>
      </c>
      <c r="E14" s="91">
        <v>7.56</v>
      </c>
      <c r="F14" s="34"/>
      <c r="G14" s="32"/>
      <c r="H14" s="33"/>
    </row>
    <row r="15" spans="2:8" x14ac:dyDescent="0.2">
      <c r="B15" s="35" t="s">
        <v>17</v>
      </c>
      <c r="C15" s="30"/>
      <c r="D15" s="36" t="s">
        <v>0</v>
      </c>
      <c r="E15" s="91">
        <v>652.54487759999995</v>
      </c>
      <c r="F15" s="34"/>
      <c r="G15" s="32"/>
      <c r="H15" s="33"/>
    </row>
    <row r="16" spans="2:8" x14ac:dyDescent="0.2">
      <c r="B16" s="38" t="s">
        <v>18</v>
      </c>
      <c r="C16" s="30"/>
      <c r="D16" s="37"/>
      <c r="E16" s="92"/>
      <c r="F16" s="37"/>
      <c r="G16" s="32"/>
      <c r="H16" s="33"/>
    </row>
    <row r="17" spans="2:8" x14ac:dyDescent="0.2">
      <c r="B17" s="35" t="s">
        <v>11</v>
      </c>
      <c r="C17" s="30"/>
      <c r="D17" s="36" t="s">
        <v>12</v>
      </c>
      <c r="E17" s="91">
        <v>3.8850000000000007</v>
      </c>
      <c r="F17" s="34"/>
      <c r="G17" s="32"/>
      <c r="H17" s="33"/>
    </row>
    <row r="18" spans="2:8" x14ac:dyDescent="0.2">
      <c r="B18" s="35" t="s">
        <v>13</v>
      </c>
      <c r="C18" s="30"/>
      <c r="D18" s="36" t="s">
        <v>14</v>
      </c>
      <c r="E18" s="91">
        <v>77.700000000000017</v>
      </c>
      <c r="F18" s="34"/>
      <c r="G18" s="32"/>
      <c r="H18" s="33"/>
    </row>
    <row r="19" spans="2:8" x14ac:dyDescent="0.2">
      <c r="B19" s="35" t="s">
        <v>19</v>
      </c>
      <c r="C19" s="30"/>
      <c r="D19" s="36" t="s">
        <v>0</v>
      </c>
      <c r="E19" s="91">
        <v>872.96003625600008</v>
      </c>
      <c r="F19" s="34"/>
      <c r="G19" s="32"/>
      <c r="H19" s="33"/>
    </row>
    <row r="20" spans="2:8" x14ac:dyDescent="0.2">
      <c r="B20" s="35" t="s">
        <v>20</v>
      </c>
      <c r="C20" s="30"/>
      <c r="D20" s="36" t="s">
        <v>0</v>
      </c>
      <c r="E20" s="91">
        <v>130.50897552000004</v>
      </c>
      <c r="F20" s="34"/>
      <c r="G20" s="32"/>
      <c r="H20" s="33"/>
    </row>
    <row r="21" spans="2:8" x14ac:dyDescent="0.2">
      <c r="B21" s="38" t="s">
        <v>21</v>
      </c>
      <c r="C21" s="30"/>
      <c r="D21" s="37"/>
      <c r="E21" s="92"/>
      <c r="F21" s="37"/>
      <c r="G21" s="32"/>
      <c r="H21" s="33"/>
    </row>
    <row r="22" spans="2:8" x14ac:dyDescent="0.2">
      <c r="B22" s="35" t="s">
        <v>11</v>
      </c>
      <c r="C22" s="30"/>
      <c r="D22" s="36" t="s">
        <v>12</v>
      </c>
      <c r="E22" s="91">
        <v>18.648000000000003</v>
      </c>
      <c r="F22" s="34"/>
      <c r="G22" s="32"/>
      <c r="H22" s="33"/>
    </row>
    <row r="23" spans="2:8" x14ac:dyDescent="0.2">
      <c r="B23" s="35" t="s">
        <v>13</v>
      </c>
      <c r="C23" s="30"/>
      <c r="D23" s="36" t="s">
        <v>14</v>
      </c>
      <c r="E23" s="91">
        <v>96.012</v>
      </c>
      <c r="F23" s="34"/>
      <c r="G23" s="32"/>
      <c r="H23" s="33"/>
    </row>
    <row r="24" spans="2:8" x14ac:dyDescent="0.2">
      <c r="B24" s="35" t="s">
        <v>19</v>
      </c>
      <c r="C24" s="30"/>
      <c r="D24" s="36" t="s">
        <v>0</v>
      </c>
      <c r="E24" s="91">
        <v>1982.8627428178802</v>
      </c>
      <c r="F24" s="34"/>
      <c r="G24" s="32"/>
      <c r="H24" s="33"/>
    </row>
    <row r="25" spans="2:8" x14ac:dyDescent="0.2">
      <c r="B25" s="35" t="s">
        <v>20</v>
      </c>
      <c r="C25" s="30"/>
      <c r="D25" s="36" t="s">
        <v>0</v>
      </c>
      <c r="E25" s="91">
        <v>250.18104503700005</v>
      </c>
      <c r="F25" s="34"/>
      <c r="G25" s="32"/>
      <c r="H25" s="33"/>
    </row>
    <row r="26" spans="2:8" x14ac:dyDescent="0.2">
      <c r="B26" s="38" t="s">
        <v>22</v>
      </c>
      <c r="C26" s="30"/>
      <c r="D26" s="37"/>
      <c r="E26" s="37"/>
      <c r="F26" s="37"/>
      <c r="G26" s="32"/>
      <c r="H26" s="33"/>
    </row>
    <row r="27" spans="2:8" ht="16" thickBot="1" x14ac:dyDescent="0.25">
      <c r="B27" s="35"/>
      <c r="C27" s="30"/>
      <c r="D27" s="36"/>
      <c r="E27" s="36"/>
      <c r="F27" s="39"/>
      <c r="G27" s="40"/>
      <c r="H27" s="33"/>
    </row>
    <row r="28" spans="2:8" ht="16" thickBot="1" x14ac:dyDescent="0.25">
      <c r="B28" s="41"/>
      <c r="C28" s="42"/>
      <c r="D28" s="43"/>
      <c r="E28" s="44"/>
      <c r="F28" s="45" t="s">
        <v>23</v>
      </c>
      <c r="G28" s="46">
        <f>SUM(G11:G27)</f>
        <v>0</v>
      </c>
      <c r="H28" s="47"/>
    </row>
    <row r="29" spans="2:8" x14ac:dyDescent="0.2">
      <c r="B29" s="13" t="s">
        <v>24</v>
      </c>
      <c r="C29" s="14"/>
      <c r="D29" s="15"/>
      <c r="E29" s="16"/>
      <c r="F29" s="48"/>
      <c r="G29" s="49"/>
      <c r="H29" s="19"/>
    </row>
    <row r="30" spans="2:8" x14ac:dyDescent="0.2">
      <c r="B30" s="50"/>
      <c r="C30" s="22"/>
      <c r="D30" s="51"/>
      <c r="E30" s="24"/>
      <c r="F30" s="52"/>
      <c r="G30" s="26"/>
      <c r="H30" s="53"/>
    </row>
    <row r="31" spans="2:8" ht="16" thickBot="1" x14ac:dyDescent="0.25">
      <c r="B31" s="54" t="s">
        <v>26</v>
      </c>
      <c r="C31" s="30"/>
      <c r="D31" s="55" t="s">
        <v>25</v>
      </c>
      <c r="E31" s="20">
        <v>232.26</v>
      </c>
      <c r="F31" s="52"/>
      <c r="G31" s="32"/>
      <c r="H31" s="56"/>
    </row>
    <row r="32" spans="2:8" ht="16" thickBot="1" x14ac:dyDescent="0.25">
      <c r="B32" s="54" t="s">
        <v>27</v>
      </c>
      <c r="C32" s="30"/>
      <c r="D32" s="57" t="s">
        <v>25</v>
      </c>
      <c r="E32" s="20">
        <v>242.76</v>
      </c>
      <c r="F32" s="80" t="s">
        <v>41</v>
      </c>
      <c r="G32" s="32"/>
      <c r="H32" s="56"/>
    </row>
    <row r="33" spans="2:8" ht="16" thickBot="1" x14ac:dyDescent="0.25">
      <c r="B33" s="74" t="s">
        <v>28</v>
      </c>
      <c r="C33" s="7"/>
      <c r="D33" s="8" t="s">
        <v>25</v>
      </c>
      <c r="E33" s="9">
        <v>19.95</v>
      </c>
      <c r="F33" s="80" t="s">
        <v>40</v>
      </c>
      <c r="G33" s="40"/>
      <c r="H33" s="12"/>
    </row>
    <row r="34" spans="2:8" x14ac:dyDescent="0.2">
      <c r="B34" s="76" t="s">
        <v>29</v>
      </c>
      <c r="C34" s="77"/>
      <c r="D34" s="78" t="s">
        <v>25</v>
      </c>
      <c r="E34" s="79">
        <v>268.8</v>
      </c>
      <c r="F34" s="80" t="s">
        <v>37</v>
      </c>
      <c r="G34" s="81"/>
      <c r="H34" s="82"/>
    </row>
    <row r="35" spans="2:8" x14ac:dyDescent="0.2">
      <c r="B35" s="83" t="s">
        <v>30</v>
      </c>
      <c r="C35" s="58"/>
      <c r="D35" s="69" t="s">
        <v>25</v>
      </c>
      <c r="E35" s="70">
        <v>268.8</v>
      </c>
      <c r="F35" s="72"/>
      <c r="G35" s="71"/>
      <c r="H35" s="59"/>
    </row>
    <row r="36" spans="2:8" ht="16" thickBot="1" x14ac:dyDescent="0.25">
      <c r="B36" s="83" t="s">
        <v>31</v>
      </c>
      <c r="C36" s="58"/>
      <c r="D36" s="69" t="s">
        <v>25</v>
      </c>
      <c r="E36" s="70">
        <v>57.75</v>
      </c>
      <c r="F36" s="72"/>
      <c r="G36" s="71"/>
      <c r="H36" s="59"/>
    </row>
    <row r="37" spans="2:8" ht="16" thickBot="1" x14ac:dyDescent="0.25">
      <c r="B37" s="83" t="s">
        <v>32</v>
      </c>
      <c r="C37" s="58"/>
      <c r="D37" s="73" t="s">
        <v>25</v>
      </c>
      <c r="E37" s="70">
        <v>268.8</v>
      </c>
      <c r="F37" s="80" t="s">
        <v>39</v>
      </c>
      <c r="G37" s="71"/>
      <c r="H37" s="59"/>
    </row>
    <row r="38" spans="2:8" ht="16" thickBot="1" x14ac:dyDescent="0.25">
      <c r="B38" s="84" t="s">
        <v>33</v>
      </c>
      <c r="C38" s="85"/>
      <c r="D38" s="86" t="s">
        <v>25</v>
      </c>
      <c r="E38" s="87">
        <v>268.8</v>
      </c>
      <c r="F38" s="80" t="s">
        <v>38</v>
      </c>
      <c r="G38" s="88"/>
      <c r="H38" s="89"/>
    </row>
    <row r="39" spans="2:8" x14ac:dyDescent="0.2">
      <c r="B39" s="75"/>
      <c r="C39" s="22"/>
      <c r="D39" s="23"/>
      <c r="E39" s="24"/>
      <c r="F39" s="52"/>
      <c r="G39" s="26"/>
      <c r="H39" s="53"/>
    </row>
    <row r="40" spans="2:8" x14ac:dyDescent="0.2">
      <c r="B40" s="54"/>
      <c r="C40" s="30"/>
      <c r="D40" s="57"/>
      <c r="E40" s="20"/>
      <c r="F40" s="52"/>
      <c r="G40" s="32"/>
      <c r="H40" s="56"/>
    </row>
    <row r="41" spans="2:8" x14ac:dyDescent="0.2">
      <c r="B41" s="54"/>
      <c r="C41" s="30"/>
      <c r="D41" s="57"/>
      <c r="E41" s="20"/>
      <c r="F41" s="52"/>
      <c r="G41" s="32"/>
      <c r="H41" s="56"/>
    </row>
    <row r="42" spans="2:8" ht="16" thickBot="1" x14ac:dyDescent="0.25">
      <c r="B42" s="54" t="s">
        <v>34</v>
      </c>
      <c r="C42" s="30"/>
      <c r="D42" s="57" t="s">
        <v>25</v>
      </c>
      <c r="E42" s="20">
        <v>57.75</v>
      </c>
      <c r="F42" s="52"/>
      <c r="G42" s="32"/>
      <c r="H42" s="56"/>
    </row>
    <row r="43" spans="2:8" ht="16" thickBot="1" x14ac:dyDescent="0.25">
      <c r="B43" s="41"/>
      <c r="C43" s="42"/>
      <c r="D43" s="43"/>
      <c r="E43" s="44"/>
      <c r="F43" s="45" t="s">
        <v>35</v>
      </c>
      <c r="G43" s="46">
        <f>SUM(G30:G42)</f>
        <v>0</v>
      </c>
      <c r="H43" s="47"/>
    </row>
    <row r="44" spans="2:8" ht="16" thickBot="1" x14ac:dyDescent="0.25">
      <c r="B44" s="12"/>
      <c r="C44" s="7"/>
      <c r="D44" s="60"/>
      <c r="E44" s="9"/>
      <c r="F44" s="61"/>
      <c r="G44" s="62"/>
      <c r="H44" s="56"/>
    </row>
    <row r="45" spans="2:8" ht="16" thickBot="1" x14ac:dyDescent="0.25">
      <c r="B45" s="93" t="s">
        <v>36</v>
      </c>
      <c r="C45" s="94"/>
      <c r="D45" s="94"/>
      <c r="E45" s="94"/>
      <c r="F45" s="95"/>
      <c r="G45" s="63">
        <f>G43+G28</f>
        <v>0</v>
      </c>
      <c r="H45" s="64"/>
    </row>
    <row r="46" spans="2:8" x14ac:dyDescent="0.2">
      <c r="B46" s="65"/>
      <c r="C46" s="66"/>
      <c r="D46" s="1"/>
      <c r="E46" s="1"/>
      <c r="F46" s="67"/>
      <c r="G46" s="68"/>
      <c r="H46" s="1"/>
    </row>
    <row r="47" spans="2:8" x14ac:dyDescent="0.2">
      <c r="B47" s="65"/>
      <c r="C47" s="66"/>
      <c r="D47" s="1"/>
      <c r="E47" s="1"/>
      <c r="F47" s="67"/>
      <c r="G47" s="68"/>
      <c r="H47" s="1"/>
    </row>
    <row r="48" spans="2:8" x14ac:dyDescent="0.2">
      <c r="B48" s="65"/>
      <c r="C48" s="66"/>
      <c r="D48" s="1"/>
      <c r="E48" s="1"/>
      <c r="F48" s="67"/>
      <c r="G48" s="68"/>
      <c r="H48" s="1"/>
    </row>
    <row r="49" spans="2:8" x14ac:dyDescent="0.2">
      <c r="B49" s="65"/>
      <c r="C49" s="66"/>
      <c r="D49" s="1"/>
      <c r="E49" s="1"/>
      <c r="F49" s="67"/>
      <c r="G49" s="68"/>
      <c r="H49" s="1"/>
    </row>
    <row r="50" spans="2:8" x14ac:dyDescent="0.2">
      <c r="B50" s="65"/>
      <c r="C50" s="66"/>
      <c r="D50" s="1"/>
      <c r="E50" s="1"/>
      <c r="F50" s="67"/>
      <c r="G50" s="68"/>
      <c r="H50" s="1"/>
    </row>
  </sheetData>
  <mergeCells count="10">
    <mergeCell ref="B45:F45"/>
    <mergeCell ref="B2:H2"/>
    <mergeCell ref="B4:H5"/>
    <mergeCell ref="B6:B7"/>
    <mergeCell ref="C6:C7"/>
    <mergeCell ref="D6:D7"/>
    <mergeCell ref="E6:E7"/>
    <mergeCell ref="F6:F7"/>
    <mergeCell ref="G6:G7"/>
    <mergeCell ref="H6:H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Nasaruddin Bin Syed Isa</dc:creator>
  <cp:lastModifiedBy>CHANAUD Elina</cp:lastModifiedBy>
  <cp:lastPrinted>2021-04-21T08:18:16Z</cp:lastPrinted>
  <dcterms:created xsi:type="dcterms:W3CDTF">2019-12-03T06:11:00Z</dcterms:created>
  <dcterms:modified xsi:type="dcterms:W3CDTF">2025-09-18T08:00:07Z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