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D:\000 LOW CO2\2025-2026 ECAM\1rst semester lectures\1-04 exam quiz 2025\warehouse\"/>
    </mc:Choice>
  </mc:AlternateContent>
  <xr:revisionPtr revIDLastSave="0" documentId="13_ncr:1_{008AFDF7-81BB-4796-A574-90D99C594113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0" r:id="rId1"/>
    <sheet name="Sheet2" sheetId="11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__DOO1">#REF!</definedName>
    <definedName name="____WIN1">#REF!</definedName>
    <definedName name="__DOO1">#REF!</definedName>
    <definedName name="__FAC1">[1]สรุป!$C$307</definedName>
    <definedName name="__WIN1">#REF!</definedName>
    <definedName name="_a">#REF!</definedName>
    <definedName name="_a___0">#REF!</definedName>
    <definedName name="_a___4">#REF!</definedName>
    <definedName name="_b">#N/A</definedName>
    <definedName name="_c">#REF!</definedName>
    <definedName name="_c___0">#REF!</definedName>
    <definedName name="_c___4">#REF!</definedName>
    <definedName name="_e">#N/A</definedName>
    <definedName name="_FAC1">[1]สรุป!$C$307</definedName>
    <definedName name="_p">#N/A</definedName>
    <definedName name="_q">#N/A</definedName>
    <definedName name="_w">#N/A</definedName>
    <definedName name="_z">#N/A</definedName>
    <definedName name="A">#REF!</definedName>
    <definedName name="aaa">#REF!</definedName>
    <definedName name="B">#REF!</definedName>
    <definedName name="CANTEEN">#REF!</definedName>
    <definedName name="D">#REF!</definedName>
    <definedName name="ee">#REF!</definedName>
    <definedName name="elx">#REF!</definedName>
    <definedName name="_xlnm.Extract">#REF!</definedName>
    <definedName name="f">#REF!</definedName>
    <definedName name="ghetyr55252">#REF!</definedName>
    <definedName name="hello">#REF!</definedName>
    <definedName name="HTML_CodePage" hidden="1">874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4" hidden="1">TRUE</definedName>
    <definedName name="HTML_OS" hidden="1">0</definedName>
    <definedName name="HTML_PathFile" hidden="1">"C:\SAni.htm"</definedName>
    <definedName name="HTML_Title" hidden="1">"อาคารเรียนรวม"</definedName>
    <definedName name="lady">"Picture 223"</definedName>
    <definedName name="nextDate">#REF!</definedName>
    <definedName name="pEnd">#REF!</definedName>
    <definedName name="_xlnm.Print_Area">[2]Sheet1!$A$1:$I$144</definedName>
    <definedName name="Print_Area_MI">#REF!</definedName>
    <definedName name="Print_Area_MI___0">#REF!</definedName>
    <definedName name="Print_Area_MI___4">#REF!</definedName>
    <definedName name="_xlnm.Print_Titles">[2]Sheet1!$1:$4</definedName>
    <definedName name="Print_Titles_MI">#REF!</definedName>
    <definedName name="Print_Titles_MI___4">#REF!</definedName>
    <definedName name="q">#REF!</definedName>
    <definedName name="QF_SYS_CURRENCY1">[3]Parameters!$F$33</definedName>
    <definedName name="QF_SYS_NOT_TRADE_DESC1">[3]Parameters!$F$35</definedName>
    <definedName name="QF_SYS_SHIPPING1">[3]Parameters!$F$32</definedName>
    <definedName name="QF_SYS_SIGNER">[3]Parameters!$F$13</definedName>
    <definedName name="QF_SYS_TRADE_DESC1">[3]Parameters!$F$34</definedName>
    <definedName name="QF_SYS_TRADETERM1">[3]Parameters!$F$31</definedName>
    <definedName name="QF_SYS_VALIDITY_DATE">[3]Parameters!$F$19</definedName>
    <definedName name="SAM">#REF!</definedName>
    <definedName name="SCE">#REF!</definedName>
    <definedName name="T_">#N/A</definedName>
    <definedName name="tap">#REF!</definedName>
    <definedName name="thisDate">#REF!</definedName>
    <definedName name="TOTAL">#REF!</definedName>
    <definedName name="valuevx">42.314159</definedName>
    <definedName name="vertex42_copyright" hidden="1">"© 2017 Vertex42 LLC"</definedName>
    <definedName name="vertex42_id" hidden="1">"project-planner.xlsx"</definedName>
    <definedName name="vertex42_title" hidden="1">"Project Planner Template"</definedName>
    <definedName name="www">'[4]ประมาณการประตูหน้าต่าง '!#REF!</definedName>
    <definedName name="เตรียมการ">#REF!</definedName>
    <definedName name="โถส้วมนั่งราบ">#REF!</definedName>
    <definedName name="ก">'[4]ประมาณการประตูหน้าต่าง '!#REF!</definedName>
    <definedName name="ก12">#REF!</definedName>
    <definedName name="กก">#REF!</definedName>
    <definedName name="การ">#REF!</definedName>
    <definedName name="กุ">'[4]ประมาณการประตูหน้าต่าง '!#REF!</definedName>
    <definedName name="กู1">#REF!</definedName>
    <definedName name="กู2">#REF!</definedName>
    <definedName name="จาน">#REF!</definedName>
    <definedName name="ถนน">#REF!</definedName>
    <definedName name="บันทัด">#REF!</definedName>
    <definedName name="บันทัด2">#REF!</definedName>
    <definedName name="พอ">'[4]ประมาณการประตูหน้าต่าง '!#REF!</definedName>
    <definedName name="ฟภุ">'[4]ประมาณการประตูหน้าต่าง '!#REF!</definedName>
    <definedName name="ฟๅ">#REF!</definedName>
    <definedName name="หห">'[4]ประมาณการประตูหน้าต่าง '!#REF!</definedName>
  </definedNames>
  <calcPr calcId="191029"/>
</workbook>
</file>

<file path=xl/calcChain.xml><?xml version="1.0" encoding="utf-8"?>
<calcChain xmlns="http://schemas.openxmlformats.org/spreadsheetml/2006/main">
  <c r="O35" i="11" l="1"/>
  <c r="Q35" i="11" s="1"/>
  <c r="Q38" i="11" s="1"/>
  <c r="O23" i="11"/>
  <c r="J29" i="11"/>
  <c r="O29" i="11"/>
  <c r="L29" i="11"/>
  <c r="J35" i="11"/>
  <c r="L35" i="11"/>
  <c r="O41" i="11"/>
  <c r="O42" i="11"/>
  <c r="O47" i="11"/>
  <c r="L41" i="11"/>
  <c r="L47" i="11"/>
  <c r="L53" i="11"/>
  <c r="O59" i="11"/>
  <c r="O60" i="11"/>
  <c r="L42" i="11"/>
  <c r="O65" i="11"/>
  <c r="L59" i="11"/>
  <c r="L65" i="11"/>
  <c r="L71" i="11"/>
  <c r="K5" i="11"/>
  <c r="D23" i="11"/>
  <c r="E23" i="11"/>
  <c r="H23" i="11"/>
  <c r="I23" i="11"/>
  <c r="F23" i="11"/>
  <c r="G23" i="11"/>
  <c r="M23" i="11"/>
  <c r="N23" i="11"/>
  <c r="P23" i="11"/>
  <c r="P26" i="11"/>
  <c r="K6" i="11"/>
  <c r="D29" i="11"/>
  <c r="E29" i="11"/>
  <c r="H29" i="11"/>
  <c r="I29" i="11"/>
  <c r="F29" i="11"/>
  <c r="G29" i="11"/>
  <c r="M29" i="11"/>
  <c r="N29" i="11"/>
  <c r="P29" i="11"/>
  <c r="P32" i="11"/>
  <c r="D41" i="11"/>
  <c r="E41" i="11"/>
  <c r="H41" i="11"/>
  <c r="I41" i="11"/>
  <c r="F7" i="11"/>
  <c r="F41" i="11"/>
  <c r="G41" i="11"/>
  <c r="M41" i="11"/>
  <c r="N41" i="11"/>
  <c r="P41" i="11"/>
  <c r="D42" i="11"/>
  <c r="E42" i="11"/>
  <c r="H42" i="11"/>
  <c r="I42" i="11"/>
  <c r="F42" i="11"/>
  <c r="G42" i="11"/>
  <c r="M42" i="11"/>
  <c r="N42" i="11"/>
  <c r="P42" i="11"/>
  <c r="P44" i="11"/>
  <c r="D47" i="11"/>
  <c r="E47" i="11"/>
  <c r="H47" i="11"/>
  <c r="I47" i="11"/>
  <c r="F47" i="11"/>
  <c r="G47" i="11"/>
  <c r="M47" i="11"/>
  <c r="N47" i="11"/>
  <c r="P47" i="11"/>
  <c r="P50" i="11"/>
  <c r="K53" i="11"/>
  <c r="D53" i="11"/>
  <c r="E53" i="11"/>
  <c r="H53" i="11"/>
  <c r="I53" i="11"/>
  <c r="F53" i="11"/>
  <c r="G53" i="11"/>
  <c r="M53" i="11"/>
  <c r="N53" i="11"/>
  <c r="P53" i="11"/>
  <c r="P56" i="11"/>
  <c r="K35" i="11"/>
  <c r="E35" i="11"/>
  <c r="I35" i="11"/>
  <c r="F35" i="11"/>
  <c r="G35" i="11"/>
  <c r="M35" i="11"/>
  <c r="N35" i="11"/>
  <c r="K59" i="11"/>
  <c r="K65" i="11"/>
  <c r="K71" i="11"/>
  <c r="E71" i="11"/>
  <c r="H71" i="11"/>
  <c r="I71" i="11"/>
  <c r="G71" i="11"/>
  <c r="M71" i="11"/>
  <c r="N71" i="11"/>
  <c r="K7" i="11"/>
  <c r="D59" i="11"/>
  <c r="E59" i="11"/>
  <c r="H59" i="11"/>
  <c r="I59" i="11"/>
  <c r="F59" i="11"/>
  <c r="G59" i="11"/>
  <c r="M59" i="11"/>
  <c r="N59" i="11"/>
  <c r="P59" i="11"/>
  <c r="L60" i="11"/>
  <c r="E60" i="11"/>
  <c r="H60" i="11"/>
  <c r="I60" i="11"/>
  <c r="F60" i="11"/>
  <c r="G60" i="11"/>
  <c r="M60" i="11"/>
  <c r="N60" i="11"/>
  <c r="P60" i="11"/>
  <c r="P62" i="11"/>
  <c r="K12" i="11"/>
  <c r="D65" i="11"/>
  <c r="E65" i="11"/>
  <c r="H65" i="11"/>
  <c r="I65" i="11"/>
  <c r="F65" i="11"/>
  <c r="G65" i="11"/>
  <c r="M65" i="11"/>
  <c r="N65" i="11"/>
  <c r="P65" i="11"/>
  <c r="P68" i="11"/>
  <c r="F9" i="11"/>
  <c r="Q3" i="11"/>
  <c r="Q8" i="11"/>
  <c r="Q23" i="11"/>
  <c r="Q26" i="11"/>
  <c r="Q29" i="11"/>
  <c r="Q32" i="11"/>
  <c r="Q41" i="11"/>
  <c r="Q44" i="11"/>
  <c r="Q47" i="11"/>
  <c r="Q50" i="11"/>
  <c r="Q53" i="11"/>
  <c r="Q56" i="11"/>
  <c r="Q59" i="11"/>
  <c r="Q62" i="11"/>
  <c r="Q65" i="11"/>
  <c r="Q68" i="11"/>
  <c r="G28" i="10"/>
  <c r="M44" i="11"/>
  <c r="S44" i="11"/>
  <c r="M50" i="11"/>
  <c r="S50" i="11"/>
  <c r="M56" i="11"/>
  <c r="S56" i="11"/>
  <c r="M68" i="11"/>
  <c r="S68" i="11"/>
  <c r="C34" i="11"/>
  <c r="C64" i="11"/>
  <c r="C71" i="11"/>
  <c r="C65" i="11"/>
  <c r="Q60" i="11"/>
  <c r="M62" i="11"/>
  <c r="Q42" i="11"/>
  <c r="C28" i="11"/>
  <c r="C22" i="11"/>
  <c r="C23" i="11"/>
  <c r="C59" i="11"/>
  <c r="C53" i="11"/>
  <c r="C47" i="11"/>
  <c r="C35" i="11"/>
  <c r="C29" i="11"/>
  <c r="C19" i="11"/>
  <c r="B19" i="11"/>
  <c r="N15" i="11"/>
  <c r="K15" i="11"/>
  <c r="O15" i="11"/>
  <c r="F5" i="11"/>
  <c r="M26" i="11"/>
  <c r="S26" i="11"/>
  <c r="U26" i="11"/>
  <c r="V26" i="11"/>
  <c r="M32" i="11"/>
  <c r="S32" i="11"/>
  <c r="S62" i="11"/>
  <c r="O71" i="11" l="1"/>
  <c r="P71" i="11" s="1"/>
  <c r="P74" i="11" s="1"/>
  <c r="P35" i="11"/>
  <c r="P38" i="11" s="1"/>
  <c r="M38" i="11"/>
  <c r="Q10" i="11" l="1"/>
  <c r="M74" i="11"/>
  <c r="S74" i="11" s="1"/>
  <c r="Q71" i="11"/>
  <c r="Q74" i="11" s="1"/>
  <c r="Q4" i="11" s="1"/>
  <c r="Q5" i="11" s="1"/>
  <c r="S38" i="11"/>
  <c r="S20" i="11" l="1"/>
  <c r="I45" i="10" s="1"/>
  <c r="G43" i="10" l="1"/>
  <c r="G45" i="10" s="1"/>
  <c r="J45" i="10" l="1"/>
</calcChain>
</file>

<file path=xl/sharedStrings.xml><?xml version="1.0" encoding="utf-8"?>
<sst xmlns="http://schemas.openxmlformats.org/spreadsheetml/2006/main" count="149" uniqueCount="100">
  <si>
    <t>benefit</t>
  </si>
  <si>
    <t>galvanize</t>
  </si>
  <si>
    <t>weight</t>
  </si>
  <si>
    <t>quantity spare</t>
  </si>
  <si>
    <t>steel price</t>
  </si>
  <si>
    <t>steel</t>
  </si>
  <si>
    <t>unit price galvanize</t>
  </si>
  <si>
    <t>worker</t>
  </si>
  <si>
    <t>welding</t>
  </si>
  <si>
    <t>Price</t>
  </si>
  <si>
    <t>quantity per unit</t>
  </si>
  <si>
    <t>total weight</t>
  </si>
  <si>
    <t>subtotal</t>
  </si>
  <si>
    <t>flate</t>
  </si>
  <si>
    <t>managment</t>
  </si>
  <si>
    <t>flate anti sleep</t>
  </si>
  <si>
    <t>length</t>
  </si>
  <si>
    <t>SPARE</t>
  </si>
  <si>
    <t>thickness</t>
  </si>
  <si>
    <t>lim kim tiek</t>
  </si>
  <si>
    <t>1.5mm</t>
  </si>
  <si>
    <t>1m</t>
  </si>
  <si>
    <t xml:space="preserve">Name :  </t>
  </si>
  <si>
    <t>DESCRIPTION</t>
  </si>
  <si>
    <t>QTY /TON/ PC</t>
  </si>
  <si>
    <t>thickness/mm</t>
  </si>
  <si>
    <t>large</t>
  </si>
  <si>
    <t>long</t>
  </si>
  <si>
    <t>kg</t>
  </si>
  <si>
    <t>LOCAL Price USD</t>
  </si>
  <si>
    <t>TRUCKING FEE</t>
  </si>
  <si>
    <t>K-BOX-price</t>
  </si>
  <si>
    <t>$ per kg</t>
  </si>
  <si>
    <t>Steel Plate</t>
  </si>
  <si>
    <t>1 pc</t>
  </si>
  <si>
    <t>2.5m</t>
  </si>
  <si>
    <t>pregalvanize 1.2mm</t>
  </si>
  <si>
    <t>FORMETATION ROOM</t>
  </si>
  <si>
    <t>ITEM</t>
  </si>
  <si>
    <t>CONTACT</t>
  </si>
  <si>
    <t>UNIT</t>
  </si>
  <si>
    <t>QTY.</t>
  </si>
  <si>
    <t>UNIT PRICE</t>
  </si>
  <si>
    <t>PRICE</t>
  </si>
  <si>
    <t>REMARKS</t>
  </si>
  <si>
    <t>Concrete structure</t>
  </si>
  <si>
    <t>Footing</t>
  </si>
  <si>
    <t>Concrete</t>
  </si>
  <si>
    <t>m3</t>
  </si>
  <si>
    <t>Form</t>
  </si>
  <si>
    <t>m2</t>
  </si>
  <si>
    <t>Lean concrete</t>
  </si>
  <si>
    <t>4x6 rock</t>
  </si>
  <si>
    <t>Steel bar for cap</t>
  </si>
  <si>
    <t>Columns</t>
  </si>
  <si>
    <t>Steel bar</t>
  </si>
  <si>
    <t>Link</t>
  </si>
  <si>
    <t>BEAM</t>
  </si>
  <si>
    <t>Slab</t>
  </si>
  <si>
    <t>Total Structure work</t>
  </si>
  <si>
    <t xml:space="preserve">Roof and Finshing Work </t>
  </si>
  <si>
    <t xml:space="preserve">Hardener </t>
  </si>
  <si>
    <t>m²</t>
  </si>
  <si>
    <t>Ventilation Brick</t>
  </si>
  <si>
    <t>mosquito net</t>
  </si>
  <si>
    <t>Steel Door</t>
  </si>
  <si>
    <t>Roof Structure</t>
  </si>
  <si>
    <t>Roof Cover cement tiles</t>
  </si>
  <si>
    <t xml:space="preserve">Roof ventilation </t>
  </si>
  <si>
    <t>Over cover structure</t>
  </si>
  <si>
    <t>Over cover</t>
  </si>
  <si>
    <t>Drainage</t>
  </si>
  <si>
    <t>Cover drainage</t>
  </si>
  <si>
    <t xml:space="preserve">Electrical and plumbing </t>
  </si>
  <si>
    <t xml:space="preserve">10cm brick Wall </t>
  </si>
  <si>
    <t>Total Roof and Finshing work</t>
  </si>
  <si>
    <t>sqm</t>
  </si>
  <si>
    <t>TOTAL PRICE (US$)</t>
  </si>
  <si>
    <t>big V</t>
  </si>
  <si>
    <t>small V</t>
  </si>
  <si>
    <t>90 V</t>
  </si>
  <si>
    <t>support</t>
  </si>
  <si>
    <t>cement roof</t>
  </si>
  <si>
    <t>main beam</t>
  </si>
  <si>
    <t>corner</t>
  </si>
  <si>
    <t>connection</t>
  </si>
  <si>
    <t>columns</t>
  </si>
  <si>
    <t>column</t>
  </si>
  <si>
    <t>90v</t>
  </si>
  <si>
    <t>over cover</t>
  </si>
  <si>
    <t>roof ventilation</t>
  </si>
  <si>
    <t>vertical</t>
  </si>
  <si>
    <t>horizontal</t>
  </si>
  <si>
    <t>benef</t>
  </si>
  <si>
    <t>lm</t>
  </si>
  <si>
    <t>total steel frame</t>
  </si>
  <si>
    <t>tonnes</t>
  </si>
  <si>
    <t>kg per sqm</t>
  </si>
  <si>
    <t>reallity</t>
  </si>
  <si>
    <t>labor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</si>
</sst>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4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4"/>
      <color theme="1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8">
    <xf numFmtId="0" fontId="0" fillId="0" borderId="0"/>
    <xf numFmtId="164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0" borderId="0"/>
    <xf numFmtId="44" fontId="8" fillId="0" borderId="0" applyFont="0" applyFill="0" applyBorder="0" applyAlignment="0" applyProtection="0"/>
    <xf numFmtId="0" fontId="9" fillId="3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3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6" fillId="5" borderId="0" applyNumberFormat="0" applyBorder="0" applyAlignment="0" applyProtection="0"/>
    <xf numFmtId="44" fontId="5" fillId="0" borderId="0" applyFont="0" applyFill="0" applyBorder="0" applyAlignment="0" applyProtection="0"/>
  </cellStyleXfs>
  <cellXfs count="140">
    <xf numFmtId="0" fontId="0" fillId="0" borderId="0" xfId="0"/>
    <xf numFmtId="44" fontId="0" fillId="0" borderId="0" xfId="5" applyFont="1"/>
    <xf numFmtId="44" fontId="0" fillId="0" borderId="0" xfId="0" applyNumberFormat="1"/>
    <xf numFmtId="0" fontId="9" fillId="3" borderId="0" xfId="6"/>
    <xf numFmtId="44" fontId="9" fillId="3" borderId="0" xfId="6" applyNumberFormat="1"/>
    <xf numFmtId="164" fontId="0" fillId="0" borderId="0" xfId="1" applyFont="1"/>
    <xf numFmtId="2" fontId="0" fillId="0" borderId="0" xfId="0" applyNumberFormat="1"/>
    <xf numFmtId="0" fontId="12" fillId="0" borderId="0" xfId="0" applyFont="1"/>
    <xf numFmtId="164" fontId="9" fillId="3" borderId="0" xfId="1" applyFont="1" applyFill="1"/>
    <xf numFmtId="164" fontId="0" fillId="0" borderId="0" xfId="1" applyFont="1" applyBorder="1"/>
    <xf numFmtId="0" fontId="15" fillId="4" borderId="6" xfId="92" applyFont="1" applyFill="1" applyBorder="1" applyAlignment="1">
      <alignment horizontal="center" vertical="center" wrapText="1"/>
    </xf>
    <xf numFmtId="0" fontId="14" fillId="4" borderId="6" xfId="92" applyFont="1" applyFill="1" applyBorder="1" applyAlignment="1">
      <alignment horizontal="center" vertical="center" wrapText="1"/>
    </xf>
    <xf numFmtId="0" fontId="15" fillId="0" borderId="10" xfId="92" applyFont="1" applyBorder="1" applyAlignment="1">
      <alignment horizontal="center" vertical="center"/>
    </xf>
    <xf numFmtId="0" fontId="15" fillId="0" borderId="6" xfId="92" applyFont="1" applyBorder="1" applyAlignment="1">
      <alignment horizontal="center" vertical="center"/>
    </xf>
    <xf numFmtId="44" fontId="15" fillId="0" borderId="6" xfId="95" applyFont="1" applyBorder="1" applyAlignment="1">
      <alignment horizontal="center" vertical="center"/>
    </xf>
    <xf numFmtId="44" fontId="15" fillId="0" borderId="10" xfId="95" applyFont="1" applyBorder="1" applyAlignment="1">
      <alignment horizontal="center" vertical="center"/>
    </xf>
    <xf numFmtId="0" fontId="15" fillId="0" borderId="12" xfId="92" applyFont="1" applyBorder="1" applyAlignment="1">
      <alignment horizontal="center" vertical="center"/>
    </xf>
    <xf numFmtId="0" fontId="14" fillId="4" borderId="6" xfId="92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4" fontId="21" fillId="0" borderId="0" xfId="1" applyFont="1" applyAlignment="1">
      <alignment vertical="center"/>
    </xf>
    <xf numFmtId="0" fontId="16" fillId="5" borderId="0" xfId="96"/>
    <xf numFmtId="0" fontId="18" fillId="0" borderId="18" xfId="0" applyFont="1" applyBorder="1" applyAlignment="1">
      <alignment vertical="center"/>
    </xf>
    <xf numFmtId="1" fontId="25" fillId="2" borderId="18" xfId="91" applyNumberFormat="1" applyFont="1" applyFill="1" applyBorder="1" applyAlignment="1">
      <alignment horizontal="left" vertical="center"/>
    </xf>
    <xf numFmtId="49" fontId="25" fillId="2" borderId="18" xfId="93" applyNumberFormat="1" applyFont="1" applyFill="1" applyBorder="1" applyAlignment="1">
      <alignment horizontal="center" vertical="center"/>
    </xf>
    <xf numFmtId="2" fontId="25" fillId="2" borderId="18" xfId="2" applyNumberFormat="1" applyFont="1" applyFill="1" applyBorder="1" applyAlignment="1">
      <alignment horizontal="center" vertical="center"/>
    </xf>
    <xf numFmtId="44" fontId="18" fillId="0" borderId="18" xfId="5" applyFont="1" applyFill="1" applyBorder="1"/>
    <xf numFmtId="44" fontId="18" fillId="0" borderId="18" xfId="5" applyFont="1" applyFill="1" applyBorder="1" applyAlignment="1">
      <alignment vertical="center"/>
    </xf>
    <xf numFmtId="1" fontId="25" fillId="0" borderId="18" xfId="91" applyNumberFormat="1" applyFont="1" applyBorder="1" applyAlignment="1">
      <alignment vertical="center"/>
    </xf>
    <xf numFmtId="1" fontId="26" fillId="8" borderId="11" xfId="91" applyNumberFormat="1" applyFont="1" applyFill="1" applyBorder="1" applyAlignment="1">
      <alignment vertical="center"/>
    </xf>
    <xf numFmtId="1" fontId="26" fillId="8" borderId="19" xfId="91" applyNumberFormat="1" applyFont="1" applyFill="1" applyBorder="1" applyAlignment="1">
      <alignment horizontal="left" vertical="center"/>
    </xf>
    <xf numFmtId="49" fontId="26" fillId="8" borderId="19" xfId="93" applyNumberFormat="1" applyFont="1" applyFill="1" applyBorder="1" applyAlignment="1">
      <alignment horizontal="center" vertical="center"/>
    </xf>
    <xf numFmtId="2" fontId="26" fillId="8" borderId="19" xfId="2" applyNumberFormat="1" applyFont="1" applyFill="1" applyBorder="1" applyAlignment="1">
      <alignment horizontal="center" vertical="center"/>
    </xf>
    <xf numFmtId="44" fontId="27" fillId="8" borderId="19" xfId="5" applyFont="1" applyFill="1" applyBorder="1"/>
    <xf numFmtId="44" fontId="27" fillId="8" borderId="19" xfId="5" applyFont="1" applyFill="1" applyBorder="1" applyAlignment="1">
      <alignment vertical="center"/>
    </xf>
    <xf numFmtId="0" fontId="27" fillId="8" borderId="7" xfId="0" applyFont="1" applyFill="1" applyBorder="1"/>
    <xf numFmtId="2" fontId="25" fillId="2" borderId="6" xfId="2" applyNumberFormat="1" applyFont="1" applyFill="1" applyBorder="1" applyAlignment="1">
      <alignment horizontal="center" vertical="center"/>
    </xf>
    <xf numFmtId="2" fontId="28" fillId="0" borderId="16" xfId="3" applyNumberFormat="1" applyFont="1" applyBorder="1" applyAlignment="1">
      <alignment horizontal="left" indent="1"/>
    </xf>
    <xf numFmtId="1" fontId="25" fillId="2" borderId="10" xfId="91" applyNumberFormat="1" applyFont="1" applyFill="1" applyBorder="1" applyAlignment="1">
      <alignment horizontal="left" vertical="center"/>
    </xf>
    <xf numFmtId="49" fontId="25" fillId="2" borderId="10" xfId="93" applyNumberFormat="1" applyFont="1" applyFill="1" applyBorder="1" applyAlignment="1">
      <alignment horizontal="center" vertical="center"/>
    </xf>
    <xf numFmtId="2" fontId="25" fillId="2" borderId="10" xfId="2" applyNumberFormat="1" applyFont="1" applyFill="1" applyBorder="1" applyAlignment="1">
      <alignment horizontal="center" vertical="center"/>
    </xf>
    <xf numFmtId="44" fontId="18" fillId="2" borderId="10" xfId="5" applyFont="1" applyFill="1" applyBorder="1"/>
    <xf numFmtId="44" fontId="18" fillId="2" borderId="10" xfId="5" applyFont="1" applyFill="1" applyBorder="1" applyAlignment="1">
      <alignment vertical="center"/>
    </xf>
    <xf numFmtId="0" fontId="18" fillId="0" borderId="10" xfId="0" applyFont="1" applyBorder="1"/>
    <xf numFmtId="44" fontId="5" fillId="0" borderId="10" xfId="97" applyFont="1" applyBorder="1"/>
    <xf numFmtId="0" fontId="6" fillId="0" borderId="10" xfId="3" applyBorder="1" applyAlignment="1">
      <alignment horizontal="left" indent="2"/>
    </xf>
    <xf numFmtId="1" fontId="25" fillId="2" borderId="6" xfId="91" applyNumberFormat="1" applyFont="1" applyFill="1" applyBorder="1" applyAlignment="1">
      <alignment horizontal="left" vertical="center"/>
    </xf>
    <xf numFmtId="0" fontId="6" fillId="0" borderId="10" xfId="3" applyBorder="1"/>
    <xf numFmtId="44" fontId="18" fillId="2" borderId="6" xfId="5" applyFont="1" applyFill="1" applyBorder="1" applyAlignment="1">
      <alignment vertical="center"/>
    </xf>
    <xf numFmtId="0" fontId="18" fillId="0" borderId="6" xfId="0" applyFont="1" applyBorder="1"/>
    <xf numFmtId="44" fontId="5" fillId="0" borderId="6" xfId="97" applyFont="1" applyBorder="1"/>
    <xf numFmtId="0" fontId="6" fillId="0" borderId="6" xfId="3" applyBorder="1" applyAlignment="1">
      <alignment horizontal="left" indent="2"/>
    </xf>
    <xf numFmtId="0" fontId="6" fillId="0" borderId="6" xfId="3" applyBorder="1"/>
    <xf numFmtId="0" fontId="6" fillId="0" borderId="19" xfId="3" applyBorder="1"/>
    <xf numFmtId="2" fontId="28" fillId="0" borderId="11" xfId="3" applyNumberFormat="1" applyFont="1" applyBorder="1" applyAlignment="1">
      <alignment horizontal="left" indent="1"/>
    </xf>
    <xf numFmtId="44" fontId="5" fillId="0" borderId="18" xfId="97" applyFont="1" applyBorder="1"/>
    <xf numFmtId="44" fontId="18" fillId="2" borderId="18" xfId="5" applyFont="1" applyFill="1" applyBorder="1" applyAlignment="1">
      <alignment vertical="center"/>
    </xf>
    <xf numFmtId="1" fontId="25" fillId="0" borderId="11" xfId="91" applyNumberFormat="1" applyFont="1" applyBorder="1" applyAlignment="1">
      <alignment horizontal="left" vertical="center" indent="1"/>
    </xf>
    <xf numFmtId="1" fontId="25" fillId="2" borderId="19" xfId="91" applyNumberFormat="1" applyFont="1" applyFill="1" applyBorder="1" applyAlignment="1">
      <alignment horizontal="left" vertical="center"/>
    </xf>
    <xf numFmtId="49" fontId="25" fillId="2" borderId="19" xfId="93" applyNumberFormat="1" applyFont="1" applyFill="1" applyBorder="1" applyAlignment="1">
      <alignment horizontal="center" vertical="center"/>
    </xf>
    <xf numFmtId="2" fontId="25" fillId="2" borderId="19" xfId="2" applyNumberFormat="1" applyFont="1" applyFill="1" applyBorder="1" applyAlignment="1">
      <alignment horizontal="center" vertical="center"/>
    </xf>
    <xf numFmtId="44" fontId="27" fillId="2" borderId="20" xfId="5" applyFont="1" applyFill="1" applyBorder="1"/>
    <xf numFmtId="44" fontId="27" fillId="2" borderId="20" xfId="5" applyFont="1" applyFill="1" applyBorder="1" applyAlignment="1">
      <alignment vertical="center"/>
    </xf>
    <xf numFmtId="0" fontId="18" fillId="0" borderId="15" xfId="0" applyFont="1" applyBorder="1"/>
    <xf numFmtId="44" fontId="27" fillId="8" borderId="17" xfId="5" applyFont="1" applyFill="1" applyBorder="1"/>
    <xf numFmtId="44" fontId="27" fillId="8" borderId="17" xfId="5" applyFont="1" applyFill="1" applyBorder="1" applyAlignment="1">
      <alignment vertical="center"/>
    </xf>
    <xf numFmtId="1" fontId="25" fillId="2" borderId="10" xfId="91" applyNumberFormat="1" applyFont="1" applyFill="1" applyBorder="1" applyAlignment="1">
      <alignment horizontal="left" vertical="center" indent="1"/>
    </xf>
    <xf numFmtId="49" fontId="25" fillId="0" borderId="10" xfId="93" applyNumberFormat="1" applyFont="1" applyFill="1" applyBorder="1" applyAlignment="1">
      <alignment horizontal="center" vertical="center"/>
    </xf>
    <xf numFmtId="44" fontId="18" fillId="0" borderId="10" xfId="5" applyFont="1" applyFill="1" applyBorder="1"/>
    <xf numFmtId="1" fontId="25" fillId="0" borderId="10" xfId="91" applyNumberFormat="1" applyFont="1" applyBorder="1" applyAlignment="1">
      <alignment vertical="center"/>
    </xf>
    <xf numFmtId="1" fontId="25" fillId="0" borderId="6" xfId="91" applyNumberFormat="1" applyFont="1" applyBorder="1" applyAlignment="1">
      <alignment horizontal="left" vertical="center" indent="1"/>
    </xf>
    <xf numFmtId="49" fontId="25" fillId="2" borderId="6" xfId="93" applyNumberFormat="1" applyFont="1" applyFill="1" applyBorder="1" applyAlignment="1">
      <alignment horizontal="center" vertical="center"/>
    </xf>
    <xf numFmtId="1" fontId="25" fillId="0" borderId="6" xfId="91" applyNumberFormat="1" applyFont="1" applyBorder="1" applyAlignment="1">
      <alignment vertical="center"/>
    </xf>
    <xf numFmtId="49" fontId="25" fillId="0" borderId="6" xfId="93" applyNumberFormat="1" applyFont="1" applyFill="1" applyBorder="1" applyAlignment="1">
      <alignment horizontal="center" vertical="center"/>
    </xf>
    <xf numFmtId="1" fontId="26" fillId="2" borderId="6" xfId="91" applyNumberFormat="1" applyFont="1" applyFill="1" applyBorder="1" applyAlignment="1">
      <alignment horizontal="left" vertical="center"/>
    </xf>
    <xf numFmtId="1" fontId="26" fillId="0" borderId="6" xfId="91" applyNumberFormat="1" applyFont="1" applyBorder="1" applyAlignment="1">
      <alignment vertical="center"/>
    </xf>
    <xf numFmtId="49" fontId="25" fillId="0" borderId="18" xfId="93" applyNumberFormat="1" applyFont="1" applyFill="1" applyBorder="1" applyAlignment="1">
      <alignment horizontal="center" vertical="center"/>
    </xf>
    <xf numFmtId="44" fontId="18" fillId="0" borderId="5" xfId="5" applyFont="1" applyFill="1" applyBorder="1"/>
    <xf numFmtId="44" fontId="18" fillId="0" borderId="5" xfId="5" applyFont="1" applyFill="1" applyBorder="1" applyAlignment="1">
      <alignment vertical="center"/>
    </xf>
    <xf numFmtId="44" fontId="26" fillId="9" borderId="20" xfId="5" applyFont="1" applyFill="1" applyBorder="1" applyAlignment="1">
      <alignment horizontal="center" vertical="center"/>
    </xf>
    <xf numFmtId="44" fontId="26" fillId="9" borderId="7" xfId="5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44" fontId="18" fillId="0" borderId="0" xfId="5" applyFont="1"/>
    <xf numFmtId="44" fontId="18" fillId="0" borderId="0" xfId="5" applyFont="1" applyAlignment="1">
      <alignment vertical="center"/>
    </xf>
    <xf numFmtId="0" fontId="1" fillId="0" borderId="0" xfId="0" applyFont="1"/>
    <xf numFmtId="164" fontId="1" fillId="0" borderId="0" xfId="1" applyFont="1"/>
    <xf numFmtId="49" fontId="26" fillId="0" borderId="6" xfId="93" applyNumberFormat="1" applyFont="1" applyFill="1" applyBorder="1" applyAlignment="1">
      <alignment horizontal="center" vertical="center"/>
    </xf>
    <xf numFmtId="2" fontId="26" fillId="2" borderId="6" xfId="2" applyNumberFormat="1" applyFont="1" applyFill="1" applyBorder="1" applyAlignment="1">
      <alignment horizontal="center" vertical="center"/>
    </xf>
    <xf numFmtId="44" fontId="27" fillId="2" borderId="6" xfId="5" applyFont="1" applyFill="1" applyBorder="1" applyAlignment="1">
      <alignment vertical="center"/>
    </xf>
    <xf numFmtId="44" fontId="27" fillId="0" borderId="6" xfId="5" applyFont="1" applyFill="1" applyBorder="1"/>
    <xf numFmtId="49" fontId="26" fillId="2" borderId="6" xfId="93" applyNumberFormat="1" applyFont="1" applyFill="1" applyBorder="1" applyAlignment="1">
      <alignment horizontal="center" vertical="center"/>
    </xf>
    <xf numFmtId="1" fontId="25" fillId="0" borderId="18" xfId="91" applyNumberFormat="1" applyFont="1" applyBorder="1" applyAlignment="1">
      <alignment horizontal="left" vertical="center" indent="1"/>
    </xf>
    <xf numFmtId="1" fontId="25" fillId="0" borderId="10" xfId="91" applyNumberFormat="1" applyFont="1" applyBorder="1" applyAlignment="1">
      <alignment horizontal="left" vertical="center" indent="1"/>
    </xf>
    <xf numFmtId="1" fontId="26" fillId="0" borderId="1" xfId="91" applyNumberFormat="1" applyFont="1" applyBorder="1" applyAlignment="1">
      <alignment horizontal="left" vertical="center" indent="1"/>
    </xf>
    <xf numFmtId="1" fontId="26" fillId="2" borderId="2" xfId="91" applyNumberFormat="1" applyFont="1" applyFill="1" applyBorder="1" applyAlignment="1">
      <alignment horizontal="left" vertical="center"/>
    </xf>
    <xf numFmtId="49" fontId="26" fillId="0" borderId="2" xfId="93" applyNumberFormat="1" applyFont="1" applyFill="1" applyBorder="1" applyAlignment="1">
      <alignment horizontal="center" vertical="center"/>
    </xf>
    <xf numFmtId="2" fontId="26" fillId="2" borderId="2" xfId="2" applyNumberFormat="1" applyFont="1" applyFill="1" applyBorder="1" applyAlignment="1">
      <alignment horizontal="center" vertical="center"/>
    </xf>
    <xf numFmtId="44" fontId="27" fillId="0" borderId="2" xfId="5" applyFont="1" applyFill="1" applyBorder="1"/>
    <xf numFmtId="44" fontId="27" fillId="2" borderId="2" xfId="5" applyFont="1" applyFill="1" applyBorder="1" applyAlignment="1">
      <alignment vertical="center"/>
    </xf>
    <xf numFmtId="1" fontId="26" fillId="0" borderId="2" xfId="91" applyNumberFormat="1" applyFont="1" applyBorder="1" applyAlignment="1">
      <alignment vertical="center"/>
    </xf>
    <xf numFmtId="1" fontId="26" fillId="0" borderId="8" xfId="91" applyNumberFormat="1" applyFont="1" applyBorder="1" applyAlignment="1">
      <alignment horizontal="left" vertical="center" indent="1"/>
    </xf>
    <xf numFmtId="1" fontId="26" fillId="0" borderId="3" xfId="91" applyNumberFormat="1" applyFont="1" applyBorder="1" applyAlignment="1">
      <alignment horizontal="left" vertical="center" indent="1"/>
    </xf>
    <xf numFmtId="1" fontId="26" fillId="2" borderId="4" xfId="91" applyNumberFormat="1" applyFont="1" applyFill="1" applyBorder="1" applyAlignment="1">
      <alignment horizontal="left" vertical="center"/>
    </xf>
    <xf numFmtId="49" fontId="26" fillId="0" borderId="4" xfId="93" applyNumberFormat="1" applyFont="1" applyFill="1" applyBorder="1" applyAlignment="1">
      <alignment horizontal="center" vertical="center"/>
    </xf>
    <xf numFmtId="2" fontId="26" fillId="2" borderId="4" xfId="2" applyNumberFormat="1" applyFont="1" applyFill="1" applyBorder="1" applyAlignment="1">
      <alignment horizontal="center" vertical="center"/>
    </xf>
    <xf numFmtId="44" fontId="27" fillId="2" borderId="4" xfId="5" applyFont="1" applyFill="1" applyBorder="1" applyAlignment="1">
      <alignment vertical="center"/>
    </xf>
    <xf numFmtId="1" fontId="26" fillId="0" borderId="4" xfId="91" applyNumberFormat="1" applyFont="1" applyBorder="1" applyAlignment="1">
      <alignment vertical="center"/>
    </xf>
    <xf numFmtId="44" fontId="27" fillId="0" borderId="4" xfId="5" applyFont="1" applyFill="1" applyBorder="1"/>
    <xf numFmtId="2" fontId="6" fillId="0" borderId="10" xfId="3" applyNumberFormat="1" applyBorder="1" applyAlignment="1">
      <alignment horizontal="center"/>
    </xf>
    <xf numFmtId="2" fontId="6" fillId="0" borderId="6" xfId="3" applyNumberFormat="1" applyBorder="1" applyAlignment="1">
      <alignment horizontal="center"/>
    </xf>
    <xf numFmtId="2" fontId="6" fillId="0" borderId="19" xfId="3" applyNumberFormat="1" applyBorder="1" applyAlignment="1">
      <alignment horizontal="center"/>
    </xf>
    <xf numFmtId="43" fontId="0" fillId="0" borderId="0" xfId="0" applyNumberFormat="1"/>
    <xf numFmtId="44" fontId="16" fillId="5" borderId="0" xfId="96" applyNumberFormat="1"/>
    <xf numFmtId="1" fontId="26" fillId="9" borderId="21" xfId="91" applyNumberFormat="1" applyFont="1" applyFill="1" applyBorder="1" applyAlignment="1">
      <alignment horizontal="right" vertical="center"/>
    </xf>
    <xf numFmtId="1" fontId="26" fillId="9" borderId="22" xfId="91" applyNumberFormat="1" applyFont="1" applyFill="1" applyBorder="1" applyAlignment="1">
      <alignment horizontal="right" vertical="center"/>
    </xf>
    <xf numFmtId="1" fontId="26" fillId="9" borderId="9" xfId="91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2" fillId="6" borderId="14" xfId="0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center" vertical="center"/>
    </xf>
    <xf numFmtId="0" fontId="22" fillId="6" borderId="16" xfId="0" applyFont="1" applyFill="1" applyBorder="1" applyAlignment="1">
      <alignment horizontal="center" vertical="center"/>
    </xf>
    <xf numFmtId="0" fontId="22" fillId="6" borderId="17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1" fontId="23" fillId="7" borderId="18" xfId="91" applyNumberFormat="1" applyFont="1" applyFill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3" fillId="7" borderId="18" xfId="91" applyFont="1" applyFill="1" applyBorder="1" applyAlignment="1">
      <alignment horizontal="center" vertical="center"/>
    </xf>
    <xf numFmtId="0" fontId="23" fillId="7" borderId="10" xfId="91" applyFont="1" applyFill="1" applyBorder="1" applyAlignment="1">
      <alignment horizontal="center" vertical="center"/>
    </xf>
    <xf numFmtId="44" fontId="23" fillId="7" borderId="18" xfId="93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2" fontId="23" fillId="7" borderId="18" xfId="91" applyNumberFormat="1" applyFont="1" applyFill="1" applyBorder="1" applyAlignment="1">
      <alignment horizontal="center" vertical="center"/>
    </xf>
    <xf numFmtId="44" fontId="23" fillId="7" borderId="15" xfId="5" applyFont="1" applyFill="1" applyBorder="1" applyAlignment="1">
      <alignment horizontal="center" vertical="center"/>
    </xf>
    <xf numFmtId="44" fontId="24" fillId="7" borderId="12" xfId="5" applyFont="1" applyFill="1" applyBorder="1" applyAlignment="1">
      <alignment horizontal="center" vertical="center"/>
    </xf>
    <xf numFmtId="44" fontId="23" fillId="7" borderId="18" xfId="5" applyFont="1" applyFill="1" applyBorder="1" applyAlignment="1">
      <alignment horizontal="center" vertical="center"/>
    </xf>
    <xf numFmtId="44" fontId="24" fillId="7" borderId="10" xfId="5" applyFont="1" applyFill="1" applyBorder="1" applyAlignment="1">
      <alignment horizontal="center" vertical="center"/>
    </xf>
    <xf numFmtId="0" fontId="14" fillId="4" borderId="6" xfId="92" applyFont="1" applyFill="1" applyBorder="1" applyAlignment="1">
      <alignment horizontal="center" vertical="center"/>
    </xf>
    <xf numFmtId="0" fontId="15" fillId="0" borderId="11" xfId="92" applyFont="1" applyBorder="1" applyAlignment="1">
      <alignment horizontal="center" vertical="center"/>
    </xf>
    <xf numFmtId="0" fontId="15" fillId="0" borderId="7" xfId="92" applyFont="1" applyBorder="1" applyAlignment="1">
      <alignment horizontal="center" vertical="center"/>
    </xf>
  </cellXfs>
  <cellStyles count="98">
    <cellStyle name="Comma" xfId="1" builtinId="3"/>
    <cellStyle name="Comma 2" xfId="2" xr:uid="{00000000-0005-0000-0000-000003000000}"/>
    <cellStyle name="Comma 2 2" xfId="7" xr:uid="{00000000-0005-0000-0000-000004000000}"/>
    <cellStyle name="Comma 2 3" xfId="9" xr:uid="{00000000-0005-0000-0000-000005000000}"/>
    <cellStyle name="Currency" xfId="5" builtinId="4"/>
    <cellStyle name="Currency 2" xfId="93" xr:uid="{00000000-0005-0000-0000-000007000000}"/>
    <cellStyle name="Currency 2 2" xfId="97" xr:uid="{00000000-0005-0000-0000-000008000000}"/>
    <cellStyle name="Currency 3" xfId="95" xr:uid="{00000000-0005-0000-0000-000009000000}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Good" xfId="6" builtinId="26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eutral" xfId="96" builtinId="28"/>
    <cellStyle name="Normal" xfId="0" builtinId="0"/>
    <cellStyle name="Normal 2" xfId="3" xr:uid="{00000000-0005-0000-0000-00005D000000}"/>
    <cellStyle name="Normal 2 2" xfId="8" xr:uid="{00000000-0005-0000-0000-00005E000000}"/>
    <cellStyle name="Normal 2 3" xfId="10" xr:uid="{00000000-0005-0000-0000-00005F000000}"/>
    <cellStyle name="Normal 2 4" xfId="92" xr:uid="{00000000-0005-0000-0000-000060000000}"/>
    <cellStyle name="Normal 27" xfId="4" xr:uid="{00000000-0005-0000-0000-000061000000}"/>
    <cellStyle name="Normal 3" xfId="91" xr:uid="{00000000-0005-0000-0000-000062000000}"/>
    <cellStyle name="Percent 2" xfId="94" xr:uid="{00000000-0005-0000-0000-00006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cksy\Library\Application%20Support\Microsoft\Office\Office%202011%20AutoRecovery\00-K-Box%20SOLUTION\13%20SECO%20POWER%20ASIA\00-K-Box%20SOLUTION\12%20street%20light\Cost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TOP-1\03kkp\Documents%20and%20Settings\Start\Local%20Settings\Temporary%20Internet%20Files\Content.IE5\49Q3GPEJ\&#3595;&#3629;&#3618;&#3619;&#3634;&#3617;&#3588;&#3635;&#3649;&#3627;&#3591;24-EE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l%20From%20D\Camtowerlink\CTL%20Offer\Quotation%20of%20Power%20Solution(Based%20on%204%20KW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91;&#3634;&#3609;&#3648;&#3614;&#3636;&#3656;&#3617;_&#3621;&#3604;-pi%20&#3605;&#3657;&#3609;\Documents%20and%20Settings\Torque\My%20Documents\TNTCON\04-TTCL-TOC\04%20TOC-Q\Project%202000%20.xls\Somchai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ropbox\00-K-Box%20SOLUTION\02-Matiere%20footbridge\quotation\MATIERE%20footbridge%202020%2003%2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ตารางส่วนลด EE."/>
      <sheetName val="Invoice"/>
      <sheetName val="liste"/>
      <sheetName val="ซอยรามคำแหง24-EE(1)"/>
      <sheetName val="_x0015_ࠀ椀က׿Ā`_x001a__x0006__x001b_i_x001c_ٳ_x0000__x0000_"/>
      <sheetName val="ค่าวัสดุ"/>
      <sheetName val="Sum"/>
      <sheetName val="สรุป_EMC"/>
      <sheetName val="Price"/>
      <sheetName val="_x0015_ࠀ椀က׿Ā`_x001a__x0006__x001b_i_x001c_ٳ??"/>
      <sheetName val="화재 탐지 설비"/>
      <sheetName val="영업소실적"/>
      <sheetName val="PipW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Cover"/>
      <sheetName val="Disclaimer"/>
      <sheetName val="L1-SUMMARY"/>
      <sheetName val="tmp_v"/>
      <sheetName val="L2-SUMMARY"/>
      <sheetName val="L3-PowerCube 1000"/>
      <sheetName val="tmp"/>
      <sheetName val="L3-PowerCube 100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แผนงาน"/>
      <sheetName val="งวดงาน (3)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สารบัญ"/>
      <sheetName val="ประมาณการประตูหน้าต่าง 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Sheet1"/>
      <sheetName val="ราคา KYS เพิ่มเติม 2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bridge"/>
      <sheetName val="Sheet2"/>
      <sheetName val="schedule"/>
      <sheetName val="Sheet4"/>
    </sheetNames>
    <sheetDataSet>
      <sheetData sheetId="0">
        <row r="10">
          <cell r="B10" t="str">
            <v>reference</v>
          </cell>
          <cell r="D10" t="str">
            <v>ITEM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0"/>
  <sheetViews>
    <sheetView tabSelected="1" workbookViewId="0">
      <selection activeCell="I13" sqref="I13"/>
    </sheetView>
  </sheetViews>
  <sheetFormatPr defaultRowHeight="14.25"/>
  <cols>
    <col min="2" max="2" width="27.6640625" customWidth="1"/>
    <col min="5" max="5" width="16.86328125" customWidth="1"/>
    <col min="6" max="6" width="28.3984375" customWidth="1"/>
    <col min="7" max="7" width="14.3984375" customWidth="1"/>
    <col min="9" max="11" width="10.59765625" bestFit="1" customWidth="1"/>
  </cols>
  <sheetData>
    <row r="2" spans="2:8" ht="17.649999999999999">
      <c r="B2" s="119"/>
      <c r="C2" s="119"/>
      <c r="D2" s="119"/>
      <c r="E2" s="119"/>
      <c r="F2" s="119"/>
      <c r="G2" s="119"/>
      <c r="H2" s="119"/>
    </row>
    <row r="3" spans="2:8">
      <c r="B3" s="19"/>
      <c r="C3" s="20"/>
      <c r="D3" s="21"/>
      <c r="E3" s="22"/>
      <c r="F3" s="21"/>
      <c r="G3" s="22"/>
      <c r="H3" s="21"/>
    </row>
    <row r="4" spans="2:8">
      <c r="B4" s="120" t="s">
        <v>37</v>
      </c>
      <c r="C4" s="121"/>
      <c r="D4" s="121"/>
      <c r="E4" s="121"/>
      <c r="F4" s="121"/>
      <c r="G4" s="121"/>
      <c r="H4" s="122"/>
    </row>
    <row r="5" spans="2:8">
      <c r="B5" s="123"/>
      <c r="C5" s="124"/>
      <c r="D5" s="124"/>
      <c r="E5" s="124"/>
      <c r="F5" s="124"/>
      <c r="G5" s="124"/>
      <c r="H5" s="125"/>
    </row>
    <row r="6" spans="2:8">
      <c r="B6" s="126" t="s">
        <v>38</v>
      </c>
      <c r="C6" s="128" t="s">
        <v>39</v>
      </c>
      <c r="D6" s="130" t="s">
        <v>40</v>
      </c>
      <c r="E6" s="132" t="s">
        <v>41</v>
      </c>
      <c r="F6" s="133" t="s">
        <v>42</v>
      </c>
      <c r="G6" s="135" t="s">
        <v>43</v>
      </c>
      <c r="H6" s="135" t="s">
        <v>44</v>
      </c>
    </row>
    <row r="7" spans="2:8">
      <c r="B7" s="127"/>
      <c r="C7" s="129"/>
      <c r="D7" s="131"/>
      <c r="E7" s="131"/>
      <c r="F7" s="134"/>
      <c r="G7" s="136"/>
      <c r="H7" s="136"/>
    </row>
    <row r="8" spans="2:8">
      <c r="B8" s="24"/>
      <c r="C8" s="25"/>
      <c r="D8" s="26"/>
      <c r="E8" s="27"/>
      <c r="F8" s="28"/>
      <c r="G8" s="29"/>
      <c r="H8" s="30"/>
    </row>
    <row r="9" spans="2:8">
      <c r="B9" s="31" t="s">
        <v>45</v>
      </c>
      <c r="C9" s="32"/>
      <c r="D9" s="33"/>
      <c r="E9" s="34"/>
      <c r="F9" s="35"/>
      <c r="G9" s="36"/>
      <c r="H9" s="37"/>
    </row>
    <row r="10" spans="2:8">
      <c r="B10" s="39" t="s">
        <v>46</v>
      </c>
      <c r="C10" s="40"/>
      <c r="D10" s="41"/>
      <c r="E10" s="42"/>
      <c r="F10" s="43"/>
      <c r="G10" s="44"/>
      <c r="H10" s="45"/>
    </row>
    <row r="11" spans="2:8">
      <c r="B11" s="47" t="s">
        <v>47</v>
      </c>
      <c r="C11" s="48"/>
      <c r="D11" s="49" t="s">
        <v>48</v>
      </c>
      <c r="E11" s="111">
        <v>7.875</v>
      </c>
      <c r="F11" s="46"/>
      <c r="G11" s="50"/>
      <c r="H11" s="51"/>
    </row>
    <row r="12" spans="2:8">
      <c r="B12" s="53" t="s">
        <v>49</v>
      </c>
      <c r="C12" s="48"/>
      <c r="D12" s="54" t="s">
        <v>50</v>
      </c>
      <c r="E12" s="112">
        <v>31.5</v>
      </c>
      <c r="F12" s="52"/>
      <c r="G12" s="50"/>
      <c r="H12" s="51"/>
    </row>
    <row r="13" spans="2:8">
      <c r="B13" s="53" t="s">
        <v>51</v>
      </c>
      <c r="C13" s="48"/>
      <c r="D13" s="54" t="s">
        <v>48</v>
      </c>
      <c r="E13" s="112">
        <v>3.7800000000000002</v>
      </c>
      <c r="F13" s="52"/>
      <c r="G13" s="50"/>
      <c r="H13" s="51"/>
    </row>
    <row r="14" spans="2:8">
      <c r="B14" s="53" t="s">
        <v>52</v>
      </c>
      <c r="C14" s="48"/>
      <c r="D14" s="54" t="s">
        <v>48</v>
      </c>
      <c r="E14" s="112">
        <v>7.56</v>
      </c>
      <c r="F14" s="52"/>
      <c r="G14" s="50"/>
      <c r="H14" s="51"/>
    </row>
    <row r="15" spans="2:8">
      <c r="B15" s="53" t="s">
        <v>53</v>
      </c>
      <c r="C15" s="48"/>
      <c r="D15" s="54" t="s">
        <v>28</v>
      </c>
      <c r="E15" s="112">
        <v>652.54487759999995</v>
      </c>
      <c r="F15" s="52"/>
      <c r="G15" s="50"/>
      <c r="H15" s="51"/>
    </row>
    <row r="16" spans="2:8">
      <c r="B16" s="56" t="s">
        <v>54</v>
      </c>
      <c r="C16" s="48"/>
      <c r="D16" s="55"/>
      <c r="E16" s="113"/>
      <c r="F16" s="55"/>
      <c r="G16" s="50"/>
      <c r="H16" s="51"/>
    </row>
    <row r="17" spans="2:8">
      <c r="B17" s="53" t="s">
        <v>47</v>
      </c>
      <c r="C17" s="48"/>
      <c r="D17" s="54" t="s">
        <v>48</v>
      </c>
      <c r="E17" s="112">
        <v>3.8850000000000007</v>
      </c>
      <c r="F17" s="52"/>
      <c r="G17" s="50"/>
      <c r="H17" s="51"/>
    </row>
    <row r="18" spans="2:8">
      <c r="B18" s="53" t="s">
        <v>49</v>
      </c>
      <c r="C18" s="48"/>
      <c r="D18" s="54" t="s">
        <v>50</v>
      </c>
      <c r="E18" s="112">
        <v>77.700000000000017</v>
      </c>
      <c r="F18" s="52"/>
      <c r="G18" s="50"/>
      <c r="H18" s="51"/>
    </row>
    <row r="19" spans="2:8">
      <c r="B19" s="53" t="s">
        <v>55</v>
      </c>
      <c r="C19" s="48"/>
      <c r="D19" s="54" t="s">
        <v>28</v>
      </c>
      <c r="E19" s="112">
        <v>872.96003625600008</v>
      </c>
      <c r="F19" s="52"/>
      <c r="G19" s="50"/>
      <c r="H19" s="51"/>
    </row>
    <row r="20" spans="2:8">
      <c r="B20" s="53" t="s">
        <v>56</v>
      </c>
      <c r="C20" s="48"/>
      <c r="D20" s="54" t="s">
        <v>28</v>
      </c>
      <c r="E20" s="112">
        <v>130.50897552000004</v>
      </c>
      <c r="F20" s="52"/>
      <c r="G20" s="50"/>
      <c r="H20" s="51"/>
    </row>
    <row r="21" spans="2:8">
      <c r="B21" s="56" t="s">
        <v>57</v>
      </c>
      <c r="C21" s="48"/>
      <c r="D21" s="55"/>
      <c r="E21" s="113"/>
      <c r="F21" s="55"/>
      <c r="G21" s="50"/>
      <c r="H21" s="51"/>
    </row>
    <row r="22" spans="2:8">
      <c r="B22" s="53" t="s">
        <v>47</v>
      </c>
      <c r="C22" s="48"/>
      <c r="D22" s="54" t="s">
        <v>48</v>
      </c>
      <c r="E22" s="112">
        <v>18.648000000000003</v>
      </c>
      <c r="F22" s="52"/>
      <c r="G22" s="50"/>
      <c r="H22" s="51"/>
    </row>
    <row r="23" spans="2:8">
      <c r="B23" s="53" t="s">
        <v>49</v>
      </c>
      <c r="C23" s="48"/>
      <c r="D23" s="54" t="s">
        <v>50</v>
      </c>
      <c r="E23" s="112">
        <v>96.012</v>
      </c>
      <c r="F23" s="52"/>
      <c r="G23" s="50"/>
      <c r="H23" s="51"/>
    </row>
    <row r="24" spans="2:8">
      <c r="B24" s="53" t="s">
        <v>55</v>
      </c>
      <c r="C24" s="48"/>
      <c r="D24" s="54" t="s">
        <v>28</v>
      </c>
      <c r="E24" s="112">
        <v>1982.8627428178802</v>
      </c>
      <c r="F24" s="52"/>
      <c r="G24" s="50"/>
      <c r="H24" s="51"/>
    </row>
    <row r="25" spans="2:8">
      <c r="B25" s="53" t="s">
        <v>56</v>
      </c>
      <c r="C25" s="48"/>
      <c r="D25" s="54" t="s">
        <v>28</v>
      </c>
      <c r="E25" s="112">
        <v>250.18104503700005</v>
      </c>
      <c r="F25" s="52"/>
      <c r="G25" s="50"/>
      <c r="H25" s="51"/>
    </row>
    <row r="26" spans="2:8">
      <c r="B26" s="56" t="s">
        <v>58</v>
      </c>
      <c r="C26" s="48"/>
      <c r="D26" s="55"/>
      <c r="E26" s="55"/>
      <c r="F26" s="55"/>
      <c r="G26" s="50"/>
      <c r="H26" s="51"/>
    </row>
    <row r="27" spans="2:8" ht="14.65" thickBot="1">
      <c r="B27" s="53"/>
      <c r="C27" s="48"/>
      <c r="D27" s="54"/>
      <c r="E27" s="54"/>
      <c r="F27" s="57"/>
      <c r="G27" s="58"/>
      <c r="H27" s="51"/>
    </row>
    <row r="28" spans="2:8" ht="14.65" thickBot="1">
      <c r="B28" s="59"/>
      <c r="C28" s="60"/>
      <c r="D28" s="61"/>
      <c r="E28" s="62"/>
      <c r="F28" s="63" t="s">
        <v>59</v>
      </c>
      <c r="G28" s="64">
        <f>SUM(G11:G27)</f>
        <v>0</v>
      </c>
      <c r="H28" s="65"/>
    </row>
    <row r="29" spans="2:8">
      <c r="B29" s="31" t="s">
        <v>60</v>
      </c>
      <c r="C29" s="32"/>
      <c r="D29" s="33"/>
      <c r="E29" s="34"/>
      <c r="F29" s="66"/>
      <c r="G29" s="67"/>
      <c r="H29" s="37"/>
    </row>
    <row r="30" spans="2:8">
      <c r="B30" s="68" t="s">
        <v>61</v>
      </c>
      <c r="C30" s="40"/>
      <c r="D30" s="69" t="s">
        <v>62</v>
      </c>
      <c r="E30" s="42">
        <v>252</v>
      </c>
      <c r="F30" s="70"/>
      <c r="G30" s="44"/>
      <c r="H30" s="71"/>
    </row>
    <row r="31" spans="2:8">
      <c r="B31" s="72" t="s">
        <v>63</v>
      </c>
      <c r="C31" s="48"/>
      <c r="D31" s="73" t="s">
        <v>62</v>
      </c>
      <c r="E31" s="38">
        <v>232.26</v>
      </c>
      <c r="F31" s="70"/>
      <c r="G31" s="50"/>
      <c r="H31" s="74"/>
    </row>
    <row r="32" spans="2:8">
      <c r="B32" s="72" t="s">
        <v>64</v>
      </c>
      <c r="C32" s="48"/>
      <c r="D32" s="75" t="s">
        <v>62</v>
      </c>
      <c r="E32" s="38">
        <v>242.76</v>
      </c>
      <c r="F32" s="70"/>
      <c r="G32" s="50"/>
      <c r="H32" s="74"/>
    </row>
    <row r="33" spans="2:10" ht="14.65" thickBot="1">
      <c r="B33" s="94" t="s">
        <v>65</v>
      </c>
      <c r="C33" s="25"/>
      <c r="D33" s="26" t="s">
        <v>62</v>
      </c>
      <c r="E33" s="27">
        <v>19.95</v>
      </c>
      <c r="F33" s="79"/>
      <c r="G33" s="58"/>
      <c r="H33" s="30"/>
    </row>
    <row r="34" spans="2:10">
      <c r="B34" s="96" t="s">
        <v>66</v>
      </c>
      <c r="C34" s="97"/>
      <c r="D34" s="98" t="s">
        <v>62</v>
      </c>
      <c r="E34" s="99">
        <v>268.8</v>
      </c>
      <c r="F34" s="100"/>
      <c r="G34" s="101"/>
      <c r="H34" s="102"/>
    </row>
    <row r="35" spans="2:10">
      <c r="B35" s="103" t="s">
        <v>67</v>
      </c>
      <c r="C35" s="76"/>
      <c r="D35" s="89" t="s">
        <v>62</v>
      </c>
      <c r="E35" s="90">
        <v>268.8</v>
      </c>
      <c r="F35" s="92"/>
      <c r="G35" s="91"/>
      <c r="H35" s="77"/>
    </row>
    <row r="36" spans="2:10">
      <c r="B36" s="103" t="s">
        <v>68</v>
      </c>
      <c r="C36" s="76"/>
      <c r="D36" s="89" t="s">
        <v>62</v>
      </c>
      <c r="E36" s="90">
        <v>57.75</v>
      </c>
      <c r="F36" s="92"/>
      <c r="G36" s="91"/>
      <c r="H36" s="77"/>
    </row>
    <row r="37" spans="2:10">
      <c r="B37" s="103" t="s">
        <v>69</v>
      </c>
      <c r="C37" s="76"/>
      <c r="D37" s="93" t="s">
        <v>62</v>
      </c>
      <c r="E37" s="90">
        <v>268.8</v>
      </c>
      <c r="F37" s="92"/>
      <c r="G37" s="91"/>
      <c r="H37" s="77"/>
    </row>
    <row r="38" spans="2:10" ht="14.65" thickBot="1">
      <c r="B38" s="104" t="s">
        <v>70</v>
      </c>
      <c r="C38" s="105"/>
      <c r="D38" s="106" t="s">
        <v>62</v>
      </c>
      <c r="E38" s="107">
        <v>268.8</v>
      </c>
      <c r="F38" s="110"/>
      <c r="G38" s="108"/>
      <c r="H38" s="109"/>
    </row>
    <row r="39" spans="2:10">
      <c r="B39" s="95" t="s">
        <v>71</v>
      </c>
      <c r="C39" s="40"/>
      <c r="D39" s="41" t="s">
        <v>94</v>
      </c>
      <c r="E39" s="42">
        <v>33.6</v>
      </c>
      <c r="F39" s="70"/>
      <c r="G39" s="44"/>
      <c r="H39" s="71"/>
    </row>
    <row r="40" spans="2:10">
      <c r="B40" s="72" t="s">
        <v>72</v>
      </c>
      <c r="C40" s="48"/>
      <c r="D40" s="75" t="s">
        <v>94</v>
      </c>
      <c r="E40" s="38">
        <v>33.6</v>
      </c>
      <c r="F40" s="70"/>
      <c r="G40" s="50"/>
      <c r="H40" s="74"/>
    </row>
    <row r="41" spans="2:10">
      <c r="B41" s="72" t="s">
        <v>73</v>
      </c>
      <c r="C41" s="48"/>
      <c r="D41" s="75" t="s">
        <v>62</v>
      </c>
      <c r="E41" s="38">
        <v>252</v>
      </c>
      <c r="F41" s="70"/>
      <c r="G41" s="50"/>
      <c r="H41" s="74"/>
    </row>
    <row r="42" spans="2:10" ht="14.65" thickBot="1">
      <c r="B42" s="72" t="s">
        <v>74</v>
      </c>
      <c r="C42" s="48"/>
      <c r="D42" s="75" t="s">
        <v>62</v>
      </c>
      <c r="E42" s="38">
        <v>57.75</v>
      </c>
      <c r="F42" s="70"/>
      <c r="G42" s="50"/>
      <c r="H42" s="74"/>
    </row>
    <row r="43" spans="2:10" ht="14.65" thickBot="1">
      <c r="B43" s="59"/>
      <c r="C43" s="60"/>
      <c r="D43" s="61"/>
      <c r="E43" s="62"/>
      <c r="F43" s="63" t="s">
        <v>75</v>
      </c>
      <c r="G43" s="64">
        <f>SUM(G30:G42)</f>
        <v>0</v>
      </c>
      <c r="H43" s="65"/>
    </row>
    <row r="44" spans="2:10" ht="14.65" thickBot="1">
      <c r="B44" s="30"/>
      <c r="C44" s="25"/>
      <c r="D44" s="78"/>
      <c r="E44" s="27"/>
      <c r="F44" s="79"/>
      <c r="G44" s="80"/>
      <c r="H44" s="74"/>
    </row>
    <row r="45" spans="2:10" ht="14.65" thickBot="1">
      <c r="B45" s="116" t="s">
        <v>77</v>
      </c>
      <c r="C45" s="117"/>
      <c r="D45" s="117"/>
      <c r="E45" s="117"/>
      <c r="F45" s="118"/>
      <c r="G45" s="81">
        <f>G43+G28</f>
        <v>0</v>
      </c>
      <c r="H45" s="82"/>
      <c r="I45" s="2" t="e">
        <f>Sheet2!S20</f>
        <v>#REF!</v>
      </c>
      <c r="J45" s="2" t="e">
        <f>#REF!+I45</f>
        <v>#REF!</v>
      </c>
    </row>
    <row r="46" spans="2:10">
      <c r="B46" s="83"/>
      <c r="C46" s="84"/>
      <c r="D46" s="18"/>
      <c r="E46" s="18"/>
      <c r="F46" s="85"/>
      <c r="G46" s="86"/>
      <c r="H46" s="18"/>
    </row>
    <row r="47" spans="2:10">
      <c r="B47" s="83"/>
      <c r="C47" s="84"/>
      <c r="D47" s="18"/>
      <c r="E47" s="18"/>
      <c r="F47" s="85"/>
      <c r="G47" s="86"/>
      <c r="H47" s="18"/>
    </row>
    <row r="48" spans="2:10">
      <c r="B48" s="83"/>
      <c r="C48" s="84"/>
      <c r="D48" s="18"/>
      <c r="E48" s="18"/>
      <c r="F48" s="85"/>
      <c r="G48" s="86"/>
      <c r="H48" s="18"/>
    </row>
    <row r="49" spans="2:8">
      <c r="B49" s="83"/>
      <c r="C49" s="84"/>
      <c r="D49" s="18"/>
      <c r="E49" s="18"/>
      <c r="F49" s="85"/>
      <c r="G49" s="86"/>
      <c r="H49" s="18"/>
    </row>
    <row r="50" spans="2:8">
      <c r="B50" s="83"/>
      <c r="C50" s="84"/>
      <c r="D50" s="18"/>
      <c r="E50" s="18"/>
      <c r="F50" s="85"/>
      <c r="G50" s="86"/>
      <c r="H50" s="18"/>
    </row>
  </sheetData>
  <mergeCells count="10">
    <mergeCell ref="B45:F45"/>
    <mergeCell ref="B2:H2"/>
    <mergeCell ref="B4:H5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74"/>
  <sheetViews>
    <sheetView zoomScaleNormal="100" workbookViewId="0">
      <pane ySplit="19" topLeftCell="A29" activePane="bottomLeft" state="frozen"/>
      <selection pane="bottomLeft" activeCell="R15" sqref="R15"/>
    </sheetView>
  </sheetViews>
  <sheetFormatPr defaultColWidth="9.1328125" defaultRowHeight="14.25"/>
  <cols>
    <col min="1" max="1" width="3.265625" customWidth="1"/>
    <col min="2" max="2" width="10.6640625" customWidth="1"/>
    <col min="3" max="3" width="17.6640625" customWidth="1"/>
    <col min="4" max="14" width="14.1328125" customWidth="1"/>
    <col min="15" max="15" width="14.1328125" style="5" customWidth="1"/>
    <col min="16" max="16" width="16.1328125" customWidth="1"/>
    <col min="17" max="19" width="14.1328125" customWidth="1"/>
    <col min="20" max="20" width="12.265625" customWidth="1"/>
    <col min="21" max="22" width="10.59765625" bestFit="1" customWidth="1"/>
  </cols>
  <sheetData>
    <row r="1" spans="4:18">
      <c r="F1" s="1"/>
    </row>
    <row r="2" spans="4:18">
      <c r="F2" s="1"/>
    </row>
    <row r="3" spans="4:18">
      <c r="F3" s="1"/>
      <c r="J3" s="87" t="s">
        <v>18</v>
      </c>
      <c r="K3">
        <v>2E-3</v>
      </c>
      <c r="Q3">
        <f>20*12</f>
        <v>240</v>
      </c>
      <c r="R3" t="s">
        <v>76</v>
      </c>
    </row>
    <row r="4" spans="4:18">
      <c r="E4" t="s">
        <v>13</v>
      </c>
      <c r="F4" s="1">
        <v>0.71</v>
      </c>
      <c r="G4" t="s">
        <v>0</v>
      </c>
      <c r="H4">
        <v>1.2</v>
      </c>
      <c r="J4" s="87" t="s">
        <v>16</v>
      </c>
      <c r="K4" s="5">
        <v>6.7</v>
      </c>
      <c r="L4" s="5"/>
      <c r="P4" t="s">
        <v>95</v>
      </c>
      <c r="Q4" s="5">
        <f>(Q26+Q32+Q44+Q50+Q56+Q62+Q68+Q74)/1000</f>
        <v>6.733142702613657</v>
      </c>
      <c r="R4" t="s">
        <v>96</v>
      </c>
    </row>
    <row r="5" spans="4:18">
      <c r="E5" t="s">
        <v>15</v>
      </c>
      <c r="F5" s="1">
        <f>53/(0.002*1.22*2.44*7850)</f>
        <v>1.1340352655011923</v>
      </c>
      <c r="J5" s="87" t="s">
        <v>78</v>
      </c>
      <c r="K5" s="5">
        <f>24/6.055</f>
        <v>3.9636663914120565</v>
      </c>
      <c r="L5" s="88" t="s">
        <v>28</v>
      </c>
      <c r="Q5" s="114">
        <f>Q4/Q$3*1000</f>
        <v>28.054761260890238</v>
      </c>
      <c r="R5" t="s">
        <v>97</v>
      </c>
    </row>
    <row r="6" spans="4:18">
      <c r="E6" t="s">
        <v>1</v>
      </c>
      <c r="F6" s="1">
        <v>0.55000000000000004</v>
      </c>
      <c r="J6" s="87" t="s">
        <v>79</v>
      </c>
      <c r="K6" s="5">
        <f>9.8/2.438</f>
        <v>4.0196882690730105</v>
      </c>
      <c r="L6" s="88" t="s">
        <v>28</v>
      </c>
    </row>
    <row r="7" spans="4:18">
      <c r="E7" t="s">
        <v>36</v>
      </c>
      <c r="F7" s="1">
        <f>11.5/(0.0012*1.219*1*7850)</f>
        <v>1.001482193646597</v>
      </c>
      <c r="J7" s="87" t="s">
        <v>80</v>
      </c>
      <c r="K7" s="5">
        <f>7/2.596</f>
        <v>2.6964560862865947</v>
      </c>
      <c r="L7" s="88" t="s">
        <v>28</v>
      </c>
      <c r="P7" t="s">
        <v>98</v>
      </c>
      <c r="Q7">
        <v>4.45</v>
      </c>
      <c r="R7" t="s">
        <v>96</v>
      </c>
    </row>
    <row r="8" spans="4:18">
      <c r="E8" s="87" t="s">
        <v>82</v>
      </c>
      <c r="F8" s="1">
        <v>6.6</v>
      </c>
      <c r="G8" s="87"/>
      <c r="J8" s="87" t="s">
        <v>81</v>
      </c>
      <c r="K8" s="5">
        <v>5</v>
      </c>
      <c r="L8" s="88" t="s">
        <v>28</v>
      </c>
      <c r="Q8" s="114">
        <f>Q7/Q$3*1000</f>
        <v>18.541666666666668</v>
      </c>
      <c r="R8" t="s">
        <v>97</v>
      </c>
    </row>
    <row r="9" spans="4:18">
      <c r="E9" s="23" t="s">
        <v>82</v>
      </c>
      <c r="F9" s="115">
        <f>3.45/(1.5*0.5)</f>
        <v>4.6000000000000005</v>
      </c>
      <c r="G9" s="87"/>
      <c r="J9" s="87"/>
      <c r="K9" s="5"/>
      <c r="L9" s="88"/>
      <c r="Q9" s="114"/>
    </row>
    <row r="10" spans="4:18">
      <c r="F10" s="1"/>
      <c r="G10" s="87" t="s">
        <v>17</v>
      </c>
      <c r="H10">
        <v>1.05</v>
      </c>
      <c r="J10" s="87" t="s">
        <v>84</v>
      </c>
      <c r="K10" s="5">
        <v>2.7</v>
      </c>
      <c r="L10" s="88" t="s">
        <v>28</v>
      </c>
      <c r="P10" s="23" t="s">
        <v>99</v>
      </c>
      <c r="Q10" s="115" t="e">
        <f>J23*O23+L23*O23+J29*O29+L29*O29+J35*O35+L35*O35+J41*O41+J42*O42+J47*O47+L47*O47+J53*O53+L53*O53+J59*O59+J60*O60+L41*O41+L42*O42+J65*O65+L65*O65+J71*O71+L71*O71+L59*O59</f>
        <v>#REF!</v>
      </c>
    </row>
    <row r="11" spans="4:18">
      <c r="F11" s="1"/>
      <c r="G11" s="87"/>
      <c r="J11" s="87" t="s">
        <v>87</v>
      </c>
      <c r="K11" s="5">
        <v>5</v>
      </c>
      <c r="L11" s="88" t="s">
        <v>28</v>
      </c>
    </row>
    <row r="12" spans="4:18">
      <c r="F12" s="1"/>
      <c r="G12" s="87"/>
      <c r="J12" s="87" t="s">
        <v>89</v>
      </c>
      <c r="K12" s="5">
        <f>0.002*0.05*2*7850</f>
        <v>1.57</v>
      </c>
      <c r="L12" s="88" t="s">
        <v>28</v>
      </c>
    </row>
    <row r="13" spans="4:18">
      <c r="F13" s="1"/>
      <c r="G13" s="87"/>
      <c r="J13" s="87"/>
      <c r="K13" s="5"/>
      <c r="L13" s="88"/>
    </row>
    <row r="14" spans="4:18">
      <c r="D14" s="137" t="s">
        <v>22</v>
      </c>
      <c r="E14" s="137"/>
      <c r="F14" s="17" t="s">
        <v>23</v>
      </c>
      <c r="G14" s="10" t="s">
        <v>24</v>
      </c>
      <c r="H14" s="11" t="s">
        <v>25</v>
      </c>
      <c r="I14" s="17" t="s">
        <v>26</v>
      </c>
      <c r="J14" s="17" t="s">
        <v>27</v>
      </c>
      <c r="K14" s="17" t="s">
        <v>28</v>
      </c>
      <c r="L14" s="11" t="s">
        <v>29</v>
      </c>
      <c r="M14" s="11" t="s">
        <v>30</v>
      </c>
      <c r="N14" s="17" t="s">
        <v>31</v>
      </c>
      <c r="O14" s="17" t="s">
        <v>32</v>
      </c>
    </row>
    <row r="15" spans="4:18">
      <c r="D15" s="138" t="s">
        <v>19</v>
      </c>
      <c r="E15" s="139"/>
      <c r="F15" s="16" t="s">
        <v>33</v>
      </c>
      <c r="G15" s="13" t="s">
        <v>34</v>
      </c>
      <c r="H15" s="12" t="s">
        <v>20</v>
      </c>
      <c r="I15" s="12" t="s">
        <v>21</v>
      </c>
      <c r="J15" s="12" t="s">
        <v>35</v>
      </c>
      <c r="K15" s="12">
        <f>1*2.5*0.0015*7850</f>
        <v>29.4375</v>
      </c>
      <c r="L15" s="14">
        <v>28</v>
      </c>
      <c r="M15" s="15">
        <v>1.8</v>
      </c>
      <c r="N15" s="15">
        <f t="shared" ref="N15" si="0">L15+M15</f>
        <v>29.8</v>
      </c>
      <c r="O15" s="15">
        <f>N15/K15</f>
        <v>1.0123142250530786</v>
      </c>
    </row>
    <row r="16" spans="4:18">
      <c r="F16" s="1"/>
      <c r="H16" s="1"/>
      <c r="K16" s="5"/>
      <c r="L16" s="5"/>
      <c r="M16" s="2"/>
    </row>
    <row r="17" spans="2:22">
      <c r="F17" s="1"/>
      <c r="K17" s="5"/>
      <c r="L17" s="5"/>
    </row>
    <row r="18" spans="2:22">
      <c r="F18" s="1"/>
    </row>
    <row r="19" spans="2:22">
      <c r="B19" t="str">
        <f>[5]footbridge!B10</f>
        <v>reference</v>
      </c>
      <c r="C19" t="str">
        <f>[5]footbridge!D10</f>
        <v>ITEM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1</v>
      </c>
      <c r="J19" t="s">
        <v>7</v>
      </c>
      <c r="K19" t="s">
        <v>8</v>
      </c>
      <c r="L19" t="s">
        <v>14</v>
      </c>
      <c r="M19" t="s">
        <v>9</v>
      </c>
      <c r="N19" t="s">
        <v>0</v>
      </c>
      <c r="O19" s="5" t="s">
        <v>10</v>
      </c>
      <c r="Q19" t="s">
        <v>11</v>
      </c>
      <c r="S19" t="s">
        <v>93</v>
      </c>
    </row>
    <row r="20" spans="2:22">
      <c r="S20" s="1" t="e">
        <f>SUM(S22:S77)</f>
        <v>#REF!</v>
      </c>
    </row>
    <row r="22" spans="2:22">
      <c r="B22">
        <v>4</v>
      </c>
      <c r="C22" s="7" t="str">
        <f>J5</f>
        <v>big V</v>
      </c>
      <c r="M22" s="2"/>
    </row>
    <row r="23" spans="2:22">
      <c r="C23" t="str">
        <f>C22</f>
        <v>big V</v>
      </c>
      <c r="D23" s="6">
        <f>K$5*K$4</f>
        <v>26.556564822460778</v>
      </c>
      <c r="E23" s="2">
        <f>D23*H$10</f>
        <v>27.884393063583818</v>
      </c>
      <c r="F23" s="2">
        <f>F$4</f>
        <v>0.71</v>
      </c>
      <c r="G23" s="2">
        <f>E23*F23</f>
        <v>19.79791907514451</v>
      </c>
      <c r="H23" s="2">
        <f>F$6</f>
        <v>0.55000000000000004</v>
      </c>
      <c r="I23" s="2">
        <f>E23*H23</f>
        <v>15.336416184971101</v>
      </c>
      <c r="J23" s="2">
        <v>3</v>
      </c>
      <c r="K23" s="2">
        <v>1</v>
      </c>
      <c r="L23" s="2">
        <v>0.2</v>
      </c>
      <c r="M23" s="2">
        <f>L23+K23+J23+I23+G23</f>
        <v>39.334335260115608</v>
      </c>
      <c r="N23" s="2">
        <f>M23*H$4</f>
        <v>47.201202312138726</v>
      </c>
      <c r="O23" s="9">
        <f>(21)*2</f>
        <v>42</v>
      </c>
      <c r="P23" s="6">
        <f>N23*O23</f>
        <v>1982.4504971098265</v>
      </c>
      <c r="Q23" s="2">
        <f>D23*O23</f>
        <v>1115.3757225433526</v>
      </c>
    </row>
    <row r="24" spans="2:22">
      <c r="C24" s="87"/>
      <c r="E24" s="2"/>
      <c r="F24" s="2"/>
      <c r="G24" s="2"/>
      <c r="H24" s="2"/>
      <c r="I24" s="2"/>
      <c r="J24" s="2"/>
      <c r="K24" s="2"/>
      <c r="L24" s="2"/>
      <c r="M24" s="2"/>
      <c r="N24" s="2"/>
      <c r="O24" s="9"/>
      <c r="P24" s="6"/>
      <c r="Q24" s="2"/>
    </row>
    <row r="25" spans="2:22">
      <c r="C25" s="87"/>
      <c r="E25" s="2"/>
      <c r="F25" s="2"/>
      <c r="G25" s="2"/>
      <c r="H25" s="2"/>
      <c r="I25" s="2"/>
      <c r="J25" s="2"/>
      <c r="K25" s="2"/>
      <c r="L25" s="2"/>
      <c r="M25" s="2"/>
      <c r="N25" s="2"/>
      <c r="O25" s="9"/>
      <c r="P25" s="6"/>
      <c r="Q25" s="2"/>
    </row>
    <row r="26" spans="2:22">
      <c r="C26" s="3" t="s">
        <v>12</v>
      </c>
      <c r="D26" s="3"/>
      <c r="E26" s="3"/>
      <c r="F26" s="3"/>
      <c r="G26" s="4"/>
      <c r="H26" s="4"/>
      <c r="I26" s="4"/>
      <c r="J26" s="4"/>
      <c r="K26" s="4"/>
      <c r="L26" s="4"/>
      <c r="M26" s="4">
        <f>M23*O23</f>
        <v>1652.0420809248556</v>
      </c>
      <c r="N26" s="4"/>
      <c r="O26" s="8"/>
      <c r="P26" s="4">
        <f>SUM(P23:P25)</f>
        <v>1982.4504971098265</v>
      </c>
      <c r="Q26" s="4">
        <f>SUM(Q23:Q23)</f>
        <v>1115.3757225433526</v>
      </c>
      <c r="R26" s="3"/>
      <c r="S26" s="4">
        <f>P26-M26</f>
        <v>330.40841618497097</v>
      </c>
      <c r="T26" s="2"/>
      <c r="U26" s="2">
        <f>S26*3*10</f>
        <v>9912.2524855491283</v>
      </c>
      <c r="V26" s="2">
        <f>T26-U26</f>
        <v>-9912.2524855491283</v>
      </c>
    </row>
    <row r="28" spans="2:22">
      <c r="C28" s="7" t="str">
        <f>J6</f>
        <v>small V</v>
      </c>
      <c r="M28" s="2"/>
    </row>
    <row r="29" spans="2:22">
      <c r="C29" t="str">
        <f>C28</f>
        <v>small V</v>
      </c>
      <c r="D29" s="6">
        <f>K$6*K$4</f>
        <v>26.931911402789172</v>
      </c>
      <c r="E29" s="2">
        <f>D29*H$10</f>
        <v>28.278506972928632</v>
      </c>
      <c r="F29" s="2">
        <f>F$4</f>
        <v>0.71</v>
      </c>
      <c r="G29" s="2">
        <f>E29*F29</f>
        <v>20.077739950779328</v>
      </c>
      <c r="H29" s="2">
        <f>F6</f>
        <v>0.55000000000000004</v>
      </c>
      <c r="I29" s="2">
        <f>E29*H29</f>
        <v>15.553178835110749</v>
      </c>
      <c r="J29" s="2">
        <f>J23</f>
        <v>3</v>
      </c>
      <c r="K29" s="2">
        <v>1</v>
      </c>
      <c r="L29" s="2">
        <f>L23</f>
        <v>0.2</v>
      </c>
      <c r="M29" s="2">
        <f>L29+K29+J29+I29+G29</f>
        <v>39.830918785890077</v>
      </c>
      <c r="N29" s="2">
        <f>M29*H$4</f>
        <v>47.797102543068092</v>
      </c>
      <c r="O29" s="9">
        <f>4*20*2</f>
        <v>160</v>
      </c>
      <c r="P29" s="6">
        <f>N29*O29</f>
        <v>7647.5364068908948</v>
      </c>
      <c r="Q29" s="2">
        <f>D29*O29</f>
        <v>4309.1058244462674</v>
      </c>
    </row>
    <row r="30" spans="2:22">
      <c r="C30" s="87"/>
      <c r="E30" s="2"/>
      <c r="F30" s="2"/>
      <c r="G30" s="2"/>
      <c r="H30" s="2"/>
      <c r="I30" s="2"/>
      <c r="J30" s="2"/>
      <c r="K30" s="2"/>
      <c r="L30" s="2"/>
      <c r="M30" s="2"/>
      <c r="N30" s="2"/>
      <c r="O30" s="9"/>
      <c r="P30" s="6"/>
      <c r="Q30" s="2"/>
    </row>
    <row r="31" spans="2:22">
      <c r="C31" s="87"/>
      <c r="E31" s="2"/>
      <c r="F31" s="2"/>
      <c r="G31" s="2"/>
      <c r="H31" s="2"/>
      <c r="I31" s="2"/>
      <c r="J31" s="2"/>
      <c r="K31" s="2"/>
      <c r="L31" s="2"/>
      <c r="M31" s="2"/>
      <c r="N31" s="2"/>
      <c r="O31" s="9"/>
      <c r="P31" s="6"/>
      <c r="Q31" s="2"/>
    </row>
    <row r="32" spans="2:22">
      <c r="C32" s="3" t="s">
        <v>12</v>
      </c>
      <c r="D32" s="3"/>
      <c r="E32" s="3"/>
      <c r="F32" s="3"/>
      <c r="G32" s="4"/>
      <c r="H32" s="4"/>
      <c r="I32" s="4"/>
      <c r="J32" s="4"/>
      <c r="K32" s="4"/>
      <c r="L32" s="4"/>
      <c r="M32" s="4">
        <f>M29*O29</f>
        <v>6372.9470057424123</v>
      </c>
      <c r="N32" s="4"/>
      <c r="O32" s="8"/>
      <c r="P32" s="4">
        <f>SUM(P29:P31)</f>
        <v>7647.5364068908948</v>
      </c>
      <c r="Q32" s="4">
        <f>SUM(Q29:Q29)</f>
        <v>4309.1058244462674</v>
      </c>
      <c r="R32" s="3"/>
      <c r="S32" s="4">
        <f>P32-M32</f>
        <v>1274.5894011484825</v>
      </c>
    </row>
    <row r="34" spans="3:19">
      <c r="C34" s="7" t="str">
        <f>E8</f>
        <v>cement roof</v>
      </c>
      <c r="M34" s="2"/>
    </row>
    <row r="35" spans="3:19">
      <c r="C35" t="str">
        <f>C34</f>
        <v>cement roof</v>
      </c>
      <c r="D35" s="6">
        <v>1</v>
      </c>
      <c r="E35" s="2">
        <f>D35*H$10</f>
        <v>1.05</v>
      </c>
      <c r="F35" s="2">
        <f>F8</f>
        <v>6.6</v>
      </c>
      <c r="G35" s="2">
        <f>E35*F35</f>
        <v>6.93</v>
      </c>
      <c r="H35" s="2"/>
      <c r="I35" s="2">
        <f>E35*H35</f>
        <v>0</v>
      </c>
      <c r="J35" s="2">
        <f>2*D35</f>
        <v>2</v>
      </c>
      <c r="K35" s="2">
        <f>1*D35</f>
        <v>1</v>
      </c>
      <c r="L35" s="2">
        <f>L29</f>
        <v>0.2</v>
      </c>
      <c r="M35" s="2">
        <f>L35+K35+J35+I35+G35</f>
        <v>10.129999999999999</v>
      </c>
      <c r="N35" s="2">
        <f>M35*H$4</f>
        <v>12.155999999999999</v>
      </c>
      <c r="O35" s="9" t="e">
        <f>Sheet1!#REF!</f>
        <v>#REF!</v>
      </c>
      <c r="P35" s="6" t="e">
        <f>N35*O35</f>
        <v>#REF!</v>
      </c>
      <c r="Q35" s="2" t="e">
        <f>D35*O35</f>
        <v>#REF!</v>
      </c>
    </row>
    <row r="36" spans="3:19">
      <c r="C36" s="87"/>
      <c r="E36" s="2"/>
      <c r="F36" s="2"/>
      <c r="G36" s="2"/>
      <c r="H36" s="2"/>
      <c r="I36" s="2"/>
      <c r="J36" s="2"/>
      <c r="K36" s="2"/>
      <c r="L36" s="2"/>
      <c r="M36" s="2"/>
      <c r="N36" s="2"/>
      <c r="O36" s="9"/>
      <c r="P36" s="6"/>
      <c r="Q36" s="2"/>
    </row>
    <row r="37" spans="3:19">
      <c r="C37" s="87"/>
      <c r="E37" s="2"/>
      <c r="F37" s="2"/>
      <c r="G37" s="2"/>
      <c r="H37" s="2"/>
      <c r="I37" s="2"/>
      <c r="J37" s="2"/>
      <c r="K37" s="2"/>
      <c r="L37" s="2"/>
      <c r="M37" s="2"/>
      <c r="N37" s="2"/>
      <c r="O37" s="9"/>
      <c r="P37" s="6"/>
      <c r="Q37" s="2"/>
    </row>
    <row r="38" spans="3:19">
      <c r="C38" s="3" t="s">
        <v>12</v>
      </c>
      <c r="D38" s="3"/>
      <c r="E38" s="3"/>
      <c r="F38" s="3"/>
      <c r="G38" s="4"/>
      <c r="H38" s="4"/>
      <c r="I38" s="4"/>
      <c r="J38" s="4"/>
      <c r="K38" s="4"/>
      <c r="L38" s="4"/>
      <c r="M38" s="4" t="e">
        <f>M35*O35</f>
        <v>#REF!</v>
      </c>
      <c r="N38" s="4"/>
      <c r="O38" s="8"/>
      <c r="P38" s="4" t="e">
        <f>SUM(P35:P37)</f>
        <v>#REF!</v>
      </c>
      <c r="Q38" s="4" t="e">
        <f>SUM(Q35:Q35)</f>
        <v>#REF!</v>
      </c>
      <c r="R38" s="3"/>
      <c r="S38" s="4" t="e">
        <f>P38-M38</f>
        <v>#REF!</v>
      </c>
    </row>
    <row r="40" spans="3:19">
      <c r="C40" s="7" t="s">
        <v>83</v>
      </c>
      <c r="M40" s="2"/>
    </row>
    <row r="41" spans="3:19">
      <c r="C41" t="s">
        <v>91</v>
      </c>
      <c r="D41" s="6">
        <f>K10*1.65</f>
        <v>4.4550000000000001</v>
      </c>
      <c r="E41" s="2">
        <f>D41*H$10</f>
        <v>4.6777500000000005</v>
      </c>
      <c r="F41" s="2">
        <f>F$7</f>
        <v>1.001482193646597</v>
      </c>
      <c r="G41" s="2">
        <f>E41*F41</f>
        <v>4.6846833313303691</v>
      </c>
      <c r="H41" s="2">
        <f>F6</f>
        <v>0.55000000000000004</v>
      </c>
      <c r="I41" s="2">
        <f>E41*H41</f>
        <v>2.5727625000000005</v>
      </c>
      <c r="J41" s="2">
        <v>2</v>
      </c>
      <c r="K41" s="2">
        <v>1</v>
      </c>
      <c r="L41" s="2">
        <f>L35</f>
        <v>0.2</v>
      </c>
      <c r="M41" s="2">
        <f>L41+K41+J41+I41+G41</f>
        <v>10.45744583133037</v>
      </c>
      <c r="N41" s="2">
        <f>M41*H$4</f>
        <v>12.548934997596444</v>
      </c>
      <c r="O41" s="9">
        <f>6*6*2</f>
        <v>72</v>
      </c>
      <c r="P41" s="6">
        <f>N41*O41</f>
        <v>903.52331982694398</v>
      </c>
      <c r="Q41" s="2">
        <f>D41*O41</f>
        <v>320.76</v>
      </c>
    </row>
    <row r="42" spans="3:19">
      <c r="C42" s="87" t="s">
        <v>92</v>
      </c>
      <c r="D42" s="6">
        <f>K10*3</f>
        <v>8.1000000000000014</v>
      </c>
      <c r="E42" s="2">
        <f>D42*H$10</f>
        <v>8.5050000000000026</v>
      </c>
      <c r="F42" s="2">
        <f>F$7</f>
        <v>1.001482193646597</v>
      </c>
      <c r="G42" s="2">
        <f>E42*F42</f>
        <v>8.5176060569643095</v>
      </c>
      <c r="H42" s="2">
        <f>H41</f>
        <v>0.55000000000000004</v>
      </c>
      <c r="I42" s="2">
        <f>E42*H42</f>
        <v>4.6777500000000014</v>
      </c>
      <c r="J42" s="2">
        <v>2</v>
      </c>
      <c r="K42" s="2">
        <v>2</v>
      </c>
      <c r="L42" s="2">
        <f>L41</f>
        <v>0.2</v>
      </c>
      <c r="M42" s="2">
        <f>L42+K42+J42+I42+G42</f>
        <v>17.39535605696431</v>
      </c>
      <c r="N42" s="2">
        <f>M42*H$4</f>
        <v>20.87442726835717</v>
      </c>
      <c r="O42" s="9">
        <f>6*3</f>
        <v>18</v>
      </c>
      <c r="P42" s="6">
        <f>N42*O42</f>
        <v>375.73969083042908</v>
      </c>
      <c r="Q42" s="2">
        <f>D42*O42</f>
        <v>145.80000000000001</v>
      </c>
    </row>
    <row r="43" spans="3:19">
      <c r="C43" s="87"/>
      <c r="E43" s="2"/>
      <c r="F43" s="2"/>
      <c r="G43" s="2"/>
      <c r="H43" s="2"/>
      <c r="I43" s="2"/>
      <c r="J43" s="2"/>
      <c r="K43" s="2"/>
      <c r="L43" s="2"/>
      <c r="M43" s="2"/>
      <c r="N43" s="2"/>
      <c r="O43" s="9"/>
      <c r="P43" s="6"/>
      <c r="Q43" s="2"/>
    </row>
    <row r="44" spans="3:19">
      <c r="C44" s="3" t="s">
        <v>12</v>
      </c>
      <c r="D44" s="3"/>
      <c r="E44" s="3"/>
      <c r="F44" s="3"/>
      <c r="G44" s="4"/>
      <c r="H44" s="4"/>
      <c r="I44" s="4"/>
      <c r="J44" s="4"/>
      <c r="K44" s="4"/>
      <c r="L44" s="4"/>
      <c r="M44" s="4">
        <f>M41*O41+M42*O42</f>
        <v>1066.0525088811441</v>
      </c>
      <c r="N44" s="4"/>
      <c r="O44" s="8"/>
      <c r="P44" s="4">
        <f>SUM(P41:P43)</f>
        <v>1279.2630106573731</v>
      </c>
      <c r="Q44" s="4">
        <f>SUM(Q41:Q41)</f>
        <v>320.76</v>
      </c>
      <c r="R44" s="3"/>
      <c r="S44" s="4">
        <f>P44-M44</f>
        <v>213.21050177622897</v>
      </c>
    </row>
    <row r="46" spans="3:19">
      <c r="C46" s="7" t="s">
        <v>85</v>
      </c>
      <c r="M46" s="2"/>
    </row>
    <row r="47" spans="3:19">
      <c r="C47" t="str">
        <f>C46</f>
        <v>connection</v>
      </c>
      <c r="D47" s="6">
        <f>K8</f>
        <v>5</v>
      </c>
      <c r="E47" s="2">
        <f>D47*H$10</f>
        <v>5.25</v>
      </c>
      <c r="F47" s="2">
        <f>F$4</f>
        <v>0.71</v>
      </c>
      <c r="G47" s="2">
        <f>E47*F47</f>
        <v>3.7275</v>
      </c>
      <c r="H47" s="2">
        <f>F$6</f>
        <v>0.55000000000000004</v>
      </c>
      <c r="I47" s="2">
        <f>E47*H47</f>
        <v>2.8875000000000002</v>
      </c>
      <c r="J47" s="2">
        <v>1</v>
      </c>
      <c r="K47" s="2">
        <v>0</v>
      </c>
      <c r="L47" s="2">
        <f>L41</f>
        <v>0.2</v>
      </c>
      <c r="M47" s="2">
        <f>L47+K47+J47+I47+G47</f>
        <v>7.8150000000000004</v>
      </c>
      <c r="N47" s="2">
        <f>M47*H$4</f>
        <v>9.3780000000000001</v>
      </c>
      <c r="O47" s="9">
        <f>(6+1)*2</f>
        <v>14</v>
      </c>
      <c r="P47" s="6">
        <f>N47*O47</f>
        <v>131.292</v>
      </c>
      <c r="Q47" s="2">
        <f>D47*O47</f>
        <v>70</v>
      </c>
    </row>
    <row r="48" spans="3:19">
      <c r="C48" s="87"/>
      <c r="E48" s="2"/>
      <c r="F48" s="2"/>
      <c r="G48" s="2"/>
      <c r="H48" s="2"/>
      <c r="I48" s="2"/>
      <c r="J48" s="2"/>
      <c r="K48" s="2"/>
      <c r="L48" s="2"/>
      <c r="M48" s="2"/>
      <c r="N48" s="2"/>
      <c r="O48" s="9"/>
      <c r="P48" s="6"/>
      <c r="Q48" s="2"/>
    </row>
    <row r="49" spans="3:19">
      <c r="C49" s="87"/>
      <c r="E49" s="2"/>
      <c r="F49" s="2"/>
      <c r="G49" s="2"/>
      <c r="H49" s="2"/>
      <c r="I49" s="2"/>
      <c r="J49" s="2"/>
      <c r="K49" s="2"/>
      <c r="L49" s="2"/>
      <c r="M49" s="2"/>
      <c r="N49" s="2"/>
      <c r="O49" s="9"/>
      <c r="P49" s="6"/>
      <c r="Q49" s="2"/>
    </row>
    <row r="50" spans="3:19">
      <c r="C50" s="3" t="s">
        <v>12</v>
      </c>
      <c r="D50" s="3"/>
      <c r="E50" s="3"/>
      <c r="F50" s="3"/>
      <c r="G50" s="4"/>
      <c r="H50" s="4"/>
      <c r="I50" s="4"/>
      <c r="J50" s="4"/>
      <c r="K50" s="4"/>
      <c r="L50" s="4"/>
      <c r="M50" s="4">
        <f>M47*O47</f>
        <v>109.41000000000001</v>
      </c>
      <c r="N50" s="4"/>
      <c r="O50" s="8"/>
      <c r="P50" s="4">
        <f>SUM(P47:P49)</f>
        <v>131.292</v>
      </c>
      <c r="Q50" s="4">
        <f>SUM(Q47:Q47)</f>
        <v>70</v>
      </c>
      <c r="R50" s="3"/>
      <c r="S50" s="4">
        <f>P50-M50</f>
        <v>21.881999999999991</v>
      </c>
    </row>
    <row r="52" spans="3:19">
      <c r="C52" s="7" t="s">
        <v>86</v>
      </c>
      <c r="M52" s="2"/>
    </row>
    <row r="53" spans="3:19">
      <c r="C53" t="str">
        <f>C52</f>
        <v>columns</v>
      </c>
      <c r="D53" s="6">
        <f>K11*3.5</f>
        <v>17.5</v>
      </c>
      <c r="E53" s="2">
        <f>D53*H$10</f>
        <v>18.375</v>
      </c>
      <c r="F53" s="2">
        <f>F$4</f>
        <v>0.71</v>
      </c>
      <c r="G53" s="2">
        <f>E53*F53</f>
        <v>13.046249999999999</v>
      </c>
      <c r="H53" s="2">
        <f>F6</f>
        <v>0.55000000000000004</v>
      </c>
      <c r="I53" s="2">
        <f>E53*H53</f>
        <v>10.106250000000001</v>
      </c>
      <c r="J53" s="2">
        <v>1</v>
      </c>
      <c r="K53" s="2">
        <f>K47</f>
        <v>0</v>
      </c>
      <c r="L53" s="2">
        <f>L47</f>
        <v>0.2</v>
      </c>
      <c r="M53" s="2">
        <f>L53+K53+J53+I53+G53</f>
        <v>24.352499999999999</v>
      </c>
      <c r="N53" s="2">
        <f>M53*H$4</f>
        <v>29.222999999999999</v>
      </c>
      <c r="O53" s="9">
        <v>5</v>
      </c>
      <c r="P53" s="6">
        <f>N53*O53</f>
        <v>146.11500000000001</v>
      </c>
      <c r="Q53" s="2">
        <f>D53*O53</f>
        <v>87.5</v>
      </c>
    </row>
    <row r="54" spans="3:19">
      <c r="C54" s="87"/>
      <c r="E54" s="2"/>
      <c r="F54" s="2"/>
      <c r="G54" s="2"/>
      <c r="H54" s="2"/>
      <c r="I54" s="2"/>
      <c r="J54" s="2"/>
      <c r="K54" s="2"/>
      <c r="L54" s="2"/>
      <c r="M54" s="2"/>
      <c r="N54" s="2"/>
      <c r="O54" s="9"/>
      <c r="P54" s="6"/>
      <c r="Q54" s="2"/>
    </row>
    <row r="55" spans="3:19">
      <c r="C55" s="87"/>
      <c r="E55" s="2"/>
      <c r="F55" s="2"/>
      <c r="G55" s="2"/>
      <c r="H55" s="2"/>
      <c r="I55" s="2"/>
      <c r="J55" s="2"/>
      <c r="K55" s="2"/>
      <c r="L55" s="2"/>
      <c r="M55" s="2"/>
      <c r="N55" s="2"/>
      <c r="O55" s="9"/>
      <c r="P55" s="6"/>
      <c r="Q55" s="2"/>
    </row>
    <row r="56" spans="3:19">
      <c r="C56" s="3" t="s">
        <v>12</v>
      </c>
      <c r="D56" s="3"/>
      <c r="E56" s="3"/>
      <c r="F56" s="3"/>
      <c r="G56" s="4"/>
      <c r="H56" s="4"/>
      <c r="I56" s="4"/>
      <c r="J56" s="4"/>
      <c r="K56" s="4"/>
      <c r="L56" s="4"/>
      <c r="M56" s="4">
        <f>M53*O53</f>
        <v>121.76249999999999</v>
      </c>
      <c r="N56" s="4"/>
      <c r="O56" s="8"/>
      <c r="P56" s="4">
        <f>SUM(P53:P55)</f>
        <v>146.11500000000001</v>
      </c>
      <c r="Q56" s="4">
        <f>SUM(Q53:Q53)</f>
        <v>87.5</v>
      </c>
      <c r="R56" s="3"/>
      <c r="S56" s="4">
        <f>P56-M56</f>
        <v>24.35250000000002</v>
      </c>
    </row>
    <row r="58" spans="3:19">
      <c r="C58" s="7" t="s">
        <v>88</v>
      </c>
      <c r="M58" s="2"/>
    </row>
    <row r="59" spans="3:19">
      <c r="C59" t="str">
        <f>C58</f>
        <v>90v</v>
      </c>
      <c r="D59" s="6">
        <f>K7*1</f>
        <v>2.6964560862865947</v>
      </c>
      <c r="E59" s="2">
        <f>D59*H$10</f>
        <v>2.8312788906009247</v>
      </c>
      <c r="F59" s="2">
        <f>F$4</f>
        <v>0.71</v>
      </c>
      <c r="G59" s="2">
        <f>E59*F59</f>
        <v>2.0102080123266566</v>
      </c>
      <c r="H59" s="2">
        <f>F6</f>
        <v>0.55000000000000004</v>
      </c>
      <c r="I59" s="2">
        <f>E59*H59</f>
        <v>1.5572033898305087</v>
      </c>
      <c r="J59" s="2">
        <v>1</v>
      </c>
      <c r="K59" s="2">
        <f>K53</f>
        <v>0</v>
      </c>
      <c r="L59" s="2">
        <f>L53</f>
        <v>0.2</v>
      </c>
      <c r="M59" s="2">
        <f>L59+K59+J59+I59+G59</f>
        <v>4.7674114021571654</v>
      </c>
      <c r="N59" s="2">
        <f>M59*H$4</f>
        <v>5.7208936825885983</v>
      </c>
      <c r="O59" s="9">
        <f>O23</f>
        <v>42</v>
      </c>
      <c r="P59" s="6">
        <f>N59*O59</f>
        <v>240.27753466872113</v>
      </c>
      <c r="Q59" s="2">
        <f>D59*O59</f>
        <v>113.25115562403698</v>
      </c>
    </row>
    <row r="60" spans="3:19">
      <c r="C60" s="87" t="s">
        <v>81</v>
      </c>
      <c r="D60" s="6">
        <v>1</v>
      </c>
      <c r="E60" s="2">
        <f>D60*H$10</f>
        <v>1.05</v>
      </c>
      <c r="F60" s="2">
        <f>F$4</f>
        <v>0.71</v>
      </c>
      <c r="G60" s="2">
        <f>E60*F60</f>
        <v>0.74549999999999994</v>
      </c>
      <c r="H60" s="2">
        <f>F$6</f>
        <v>0.55000000000000004</v>
      </c>
      <c r="I60" s="2">
        <f>E60*H60</f>
        <v>0.57750000000000012</v>
      </c>
      <c r="J60" s="2">
        <v>1</v>
      </c>
      <c r="K60" s="2">
        <v>0</v>
      </c>
      <c r="L60" s="2">
        <f>L54</f>
        <v>0</v>
      </c>
      <c r="M60" s="2">
        <f>L60+K60+J60+I60+G60</f>
        <v>2.323</v>
      </c>
      <c r="N60" s="2">
        <f>M60*H$4</f>
        <v>2.7875999999999999</v>
      </c>
      <c r="O60" s="9">
        <f>22*5*2</f>
        <v>220</v>
      </c>
      <c r="P60" s="6">
        <f>N60*O60</f>
        <v>613.27199999999993</v>
      </c>
      <c r="Q60" s="2">
        <f>D60*O60</f>
        <v>220</v>
      </c>
    </row>
    <row r="61" spans="3:19">
      <c r="C61" s="87"/>
      <c r="E61" s="2"/>
      <c r="F61" s="2"/>
      <c r="G61" s="2"/>
      <c r="H61" s="2"/>
      <c r="I61" s="2"/>
      <c r="J61" s="2"/>
      <c r="K61" s="2"/>
      <c r="L61" s="2"/>
      <c r="M61" s="2"/>
      <c r="N61" s="2"/>
      <c r="O61" s="9"/>
      <c r="P61" s="6"/>
      <c r="Q61" s="2"/>
    </row>
    <row r="62" spans="3:19">
      <c r="C62" s="3" t="s">
        <v>12</v>
      </c>
      <c r="D62" s="3"/>
      <c r="E62" s="3"/>
      <c r="F62" s="3"/>
      <c r="G62" s="4"/>
      <c r="H62" s="4"/>
      <c r="I62" s="4"/>
      <c r="J62" s="4"/>
      <c r="K62" s="4"/>
      <c r="L62" s="4"/>
      <c r="M62" s="4">
        <f>M59*O59+M60*O60</f>
        <v>711.29127889060101</v>
      </c>
      <c r="N62" s="4"/>
      <c r="O62" s="8"/>
      <c r="P62" s="4">
        <f>SUM(P59:P61)</f>
        <v>853.54953466872109</v>
      </c>
      <c r="Q62" s="4">
        <f>SUM(Q59:Q59)</f>
        <v>113.25115562403698</v>
      </c>
      <c r="R62" s="3"/>
      <c r="S62" s="4">
        <f>P62-M62</f>
        <v>142.25825577812009</v>
      </c>
    </row>
    <row r="64" spans="3:19">
      <c r="C64" s="7" t="str">
        <f>J12</f>
        <v>over cover</v>
      </c>
      <c r="M64" s="2"/>
    </row>
    <row r="65" spans="3:19">
      <c r="C65" t="str">
        <f>C64</f>
        <v>over cover</v>
      </c>
      <c r="D65" s="6">
        <f>K12*1</f>
        <v>1.57</v>
      </c>
      <c r="E65" s="2">
        <f>D65*H$10</f>
        <v>1.6485000000000001</v>
      </c>
      <c r="F65" s="2">
        <f>F$4</f>
        <v>0.71</v>
      </c>
      <c r="G65" s="2">
        <f>E65*F65</f>
        <v>1.1704349999999999</v>
      </c>
      <c r="H65" s="2">
        <f>F6</f>
        <v>0.55000000000000004</v>
      </c>
      <c r="I65" s="2">
        <f>E65*H65</f>
        <v>0.90667500000000012</v>
      </c>
      <c r="J65" s="2">
        <v>1</v>
      </c>
      <c r="K65" s="2">
        <f>K59</f>
        <v>0</v>
      </c>
      <c r="L65" s="2">
        <f>L59</f>
        <v>0.2</v>
      </c>
      <c r="M65" s="2">
        <f>L65+K65+J65+I65+G65</f>
        <v>3.27711</v>
      </c>
      <c r="N65" s="2">
        <f>M65*H$4</f>
        <v>3.9325319999999997</v>
      </c>
      <c r="O65" s="9">
        <f>21*20</f>
        <v>420</v>
      </c>
      <c r="P65" s="6">
        <f>N65*O65</f>
        <v>1651.6634399999998</v>
      </c>
      <c r="Q65" s="2">
        <f>D65*O65</f>
        <v>659.4</v>
      </c>
    </row>
    <row r="66" spans="3:19">
      <c r="C66" s="87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9"/>
      <c r="P66" s="6"/>
      <c r="Q66" s="2"/>
    </row>
    <row r="67" spans="3:19">
      <c r="C67" s="87"/>
      <c r="E67" s="2"/>
      <c r="F67" s="2"/>
      <c r="G67" s="2"/>
      <c r="H67" s="2"/>
      <c r="I67" s="2"/>
      <c r="J67" s="2"/>
      <c r="K67" s="2"/>
      <c r="L67" s="2"/>
      <c r="M67" s="2"/>
      <c r="N67" s="2"/>
      <c r="O67" s="9"/>
      <c r="P67" s="6"/>
      <c r="Q67" s="2"/>
    </row>
    <row r="68" spans="3:19">
      <c r="C68" s="3" t="s">
        <v>12</v>
      </c>
      <c r="D68" s="3"/>
      <c r="E68" s="3"/>
      <c r="F68" s="3"/>
      <c r="G68" s="4"/>
      <c r="H68" s="4"/>
      <c r="I68" s="4"/>
      <c r="J68" s="4"/>
      <c r="K68" s="4"/>
      <c r="L68" s="4"/>
      <c r="M68" s="4">
        <f>M65*O65</f>
        <v>1376.3861999999999</v>
      </c>
      <c r="N68" s="4"/>
      <c r="O68" s="8"/>
      <c r="P68" s="4">
        <f>SUM(P65:P67)</f>
        <v>1651.6634399999998</v>
      </c>
      <c r="Q68" s="4">
        <f>SUM(Q65:Q65)</f>
        <v>659.4</v>
      </c>
      <c r="R68" s="3"/>
      <c r="S68" s="4">
        <f>P68-M68</f>
        <v>275.27723999999989</v>
      </c>
    </row>
    <row r="70" spans="3:19">
      <c r="C70" s="7" t="s">
        <v>90</v>
      </c>
      <c r="M70" s="2"/>
    </row>
    <row r="71" spans="3:19">
      <c r="C71" t="str">
        <f>C70</f>
        <v>roof ventilation</v>
      </c>
      <c r="D71">
        <v>1</v>
      </c>
      <c r="E71" s="2">
        <f>D71*H$10</f>
        <v>1.05</v>
      </c>
      <c r="F71" s="2">
        <v>11.96</v>
      </c>
      <c r="G71" s="2">
        <f>E71*F71</f>
        <v>12.558000000000002</v>
      </c>
      <c r="H71" s="2">
        <f>F13</f>
        <v>0</v>
      </c>
      <c r="I71" s="2">
        <f>E71*H71</f>
        <v>0</v>
      </c>
      <c r="J71" s="2">
        <v>1</v>
      </c>
      <c r="K71" s="2">
        <f>K65</f>
        <v>0</v>
      </c>
      <c r="L71" s="2">
        <f>L65</f>
        <v>0.2</v>
      </c>
      <c r="M71" s="2">
        <f>L71+K71+J71+I71+G71</f>
        <v>13.758000000000001</v>
      </c>
      <c r="N71" s="2">
        <f>M71*H$4</f>
        <v>16.509599999999999</v>
      </c>
      <c r="O71" s="6">
        <f>Sheet1!E36</f>
        <v>57.75</v>
      </c>
      <c r="P71" s="6">
        <f>N71*O71</f>
        <v>953.42939999999999</v>
      </c>
      <c r="Q71" s="2">
        <f>D71*O71</f>
        <v>57.75</v>
      </c>
    </row>
    <row r="72" spans="3:19">
      <c r="C72" s="87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9"/>
      <c r="P72" s="6"/>
      <c r="Q72" s="2"/>
    </row>
    <row r="73" spans="3:19">
      <c r="C73" s="87"/>
      <c r="E73" s="2"/>
      <c r="F73" s="2"/>
      <c r="G73" s="2"/>
      <c r="H73" s="2"/>
      <c r="I73" s="2"/>
      <c r="J73" s="2"/>
      <c r="K73" s="2"/>
      <c r="L73" s="2"/>
      <c r="M73" s="2"/>
      <c r="N73" s="2"/>
      <c r="O73" s="9"/>
      <c r="P73" s="6"/>
      <c r="Q73" s="2"/>
    </row>
    <row r="74" spans="3:19">
      <c r="C74" s="3" t="s">
        <v>12</v>
      </c>
      <c r="D74" s="3"/>
      <c r="E74" s="3"/>
      <c r="F74" s="3"/>
      <c r="G74" s="4"/>
      <c r="H74" s="4"/>
      <c r="I74" s="4"/>
      <c r="J74" s="4"/>
      <c r="K74" s="4"/>
      <c r="L74" s="4"/>
      <c r="M74" s="4">
        <f>M71*O71</f>
        <v>794.5245000000001</v>
      </c>
      <c r="N74" s="4"/>
      <c r="O74" s="8"/>
      <c r="P74" s="4">
        <f>SUM(P71:P73)</f>
        <v>953.42939999999999</v>
      </c>
      <c r="Q74" s="4">
        <f>SUM(Q71:Q71)</f>
        <v>57.75</v>
      </c>
      <c r="R74" s="3"/>
      <c r="S74" s="4">
        <f>P74-M74</f>
        <v>158.90489999999988</v>
      </c>
    </row>
  </sheetData>
  <mergeCells count="2"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Nasaruddin Bin Syed Isa</dc:creator>
  <cp:lastModifiedBy>Yvon CHALM</cp:lastModifiedBy>
  <cp:lastPrinted>2021-04-21T08:18:16Z</cp:lastPrinted>
  <dcterms:created xsi:type="dcterms:W3CDTF">2019-12-03T06:11:00Z</dcterms:created>
  <dcterms:modified xsi:type="dcterms:W3CDTF">2025-09-18T06:21:41Z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